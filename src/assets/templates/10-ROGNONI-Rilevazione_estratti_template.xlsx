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eyondoc-my.sharepoint.com/personal/thomas_rognoni_beyondoc_com/Documents/Desktop/Angular/monthly-report-app/src/assets/templates/"/>
    </mc:Choice>
  </mc:AlternateContent>
  <xr:revisionPtr revIDLastSave="1" documentId="13_ncr:1_{B4ECB242-BBDC-4905-AA50-97107C7B4E7A}" xr6:coauthVersionLast="47" xr6:coauthVersionMax="47" xr10:uidLastSave="{88F96528-4E90-4DC8-93E9-C3F1C38B7FCC}"/>
  <bookViews>
    <workbookView xWindow="-3912" yWindow="-17388" windowWidth="30936" windowHeight="16776" xr2:uid="{A65CC0B0-33FF-4917-A142-09106219D7C1}"/>
  </bookViews>
  <sheets>
    <sheet name="Foglio1" sheetId="1" r:id="rId1"/>
  </sheets>
  <definedNames>
    <definedName name="_xlnm._FilterDatabase" localSheetId="0" hidden="1">Foglio1!$B$46:$H$46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3" i="1" l="1"/>
  <c r="G42" i="1"/>
  <c r="G41" i="1"/>
  <c r="G28" i="1"/>
  <c r="G29" i="1" l="1"/>
  <c r="G40" i="1"/>
  <c r="G39" i="1"/>
  <c r="G30" i="1"/>
  <c r="G32" i="1"/>
  <c r="G34" i="1"/>
  <c r="G33" i="1"/>
  <c r="G31" i="1"/>
  <c r="G36" i="1" l="1"/>
  <c r="E22" i="1" l="1"/>
  <c r="E23" i="1" s="1"/>
  <c r="E24" i="1"/>
</calcChain>
</file>

<file path=xl/sharedStrings.xml><?xml version="1.0" encoding="utf-8"?>
<sst xmlns="http://schemas.openxmlformats.org/spreadsheetml/2006/main" count="75" uniqueCount="58">
  <si>
    <t>ESTRATTO PERSONALE RIASSUNTIVO DELLE ATTIVITA'</t>
  </si>
  <si>
    <t>Thomas Rognoni</t>
  </si>
  <si>
    <t>Note di compilazione: ogni dipendente dovrà compilare il seguente prospetto indicando con precisione le attività</t>
  </si>
  <si>
    <t>svolte nel mese con riferimento all'estratto interessato.</t>
  </si>
  <si>
    <t>Indicando il codice dell'estratto e i giorni effettuati</t>
  </si>
  <si>
    <t>Dovrà inoltre provvedere ad indicare eventuali giorni di ferie/permessi e malattia.</t>
  </si>
  <si>
    <t>Il totale dei giorni indicati non dovrà essere inferiore  ai giorni lavorativi del mese.</t>
  </si>
  <si>
    <t>Il prospetto dovrà essere inviato entro la chiusura del mese all'Ufficio Amministrazione</t>
  </si>
  <si>
    <t>amministrazione@studioform.net</t>
  </si>
  <si>
    <t>QUADRATURA DEL MESE</t>
  </si>
  <si>
    <t>Totale giorni lavorativi del mese</t>
  </si>
  <si>
    <t>Totale giorni dichiarati dal dipendente</t>
  </si>
  <si>
    <t xml:space="preserve"> </t>
  </si>
  <si>
    <t>Quadratura</t>
  </si>
  <si>
    <t>Straordinari</t>
  </si>
  <si>
    <t xml:space="preserve">  </t>
  </si>
  <si>
    <t>THOMAS ROGNONI - Da compilare a cura del dipendente</t>
  </si>
  <si>
    <t>Giorni Lavorativi  Designer</t>
  </si>
  <si>
    <t>D</t>
  </si>
  <si>
    <t>Altre attività</t>
  </si>
  <si>
    <t>AA</t>
  </si>
  <si>
    <t>ST</t>
  </si>
  <si>
    <t>Ferie</t>
  </si>
  <si>
    <t>F</t>
  </si>
  <si>
    <t>Permessi/ex Festività</t>
  </si>
  <si>
    <t>PE</t>
  </si>
  <si>
    <t>Malattia</t>
  </si>
  <si>
    <t>MA</t>
  </si>
  <si>
    <t>Permessi retribuiti  L.104</t>
  </si>
  <si>
    <t>L104</t>
  </si>
  <si>
    <t xml:space="preserve">Totale giorni dichiarati </t>
  </si>
  <si>
    <t>TT</t>
  </si>
  <si>
    <t>Estratto</t>
  </si>
  <si>
    <t>Codice</t>
  </si>
  <si>
    <t>descrizione estratto</t>
  </si>
  <si>
    <t>cliente</t>
  </si>
  <si>
    <t>Giorni</t>
  </si>
  <si>
    <t>Note</t>
  </si>
  <si>
    <t>ESA3582021</t>
  </si>
  <si>
    <t>MONTE DEI PASCHI</t>
  </si>
  <si>
    <t>MPS</t>
  </si>
  <si>
    <t>BD0002022S</t>
  </si>
  <si>
    <t>BANCO DI DESIO</t>
  </si>
  <si>
    <t>BdD</t>
  </si>
  <si>
    <t>BCC</t>
  </si>
  <si>
    <t>FormIO</t>
  </si>
  <si>
    <t>Dettaglio</t>
  </si>
  <si>
    <t>Data</t>
  </si>
  <si>
    <t>Attività</t>
  </si>
  <si>
    <t>Cliente</t>
  </si>
  <si>
    <t>Ore</t>
  </si>
  <si>
    <t>ESA9992024S</t>
  </si>
  <si>
    <t>PAM</t>
  </si>
  <si>
    <t>ESAPAM2024S</t>
  </si>
  <si>
    <t>MEDIOLANUM</t>
  </si>
  <si>
    <t>ESA9982024S</t>
  </si>
  <si>
    <t>Accessibilità PAM</t>
  </si>
  <si>
    <t>MESE DI OTTOBRE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</si>
</sst>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_-;\-* #,##0.00_-;_-* &quot;-&quot;??_-;_-@_-"/>
    <numFmt numFmtId="165" formatCode="#,##0.0000_ ;\-#,##0.0000\ "/>
    <numFmt numFmtId="166" formatCode="_-* #,##0.000_-;\-* #,##0.000_-;_-* \-??_-;_-@_-"/>
    <numFmt numFmtId="167" formatCode="0.0000"/>
    <numFmt numFmtId="168" formatCode="_-[$€]\ * #,##0.00_-;\-[$€]\ * #,##0.00_-;_-[$€]\ * \-??_-;_-@_-"/>
    <numFmt numFmtId="169" formatCode="&quot;L. &quot;#,##0.00;&quot;-L. &quot;#,##0.00"/>
    <numFmt numFmtId="170" formatCode="_-* #,##0.00_-;\-* #,##0.00_-;_-* \-??_-;_-@_-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18"/>
      <name val="Calibri"/>
      <family val="2"/>
    </font>
    <font>
      <b/>
      <sz val="11"/>
      <color indexed="10"/>
      <name val="Calibri"/>
      <family val="2"/>
    </font>
    <font>
      <b/>
      <sz val="12"/>
      <color indexed="8"/>
      <name val="Calibri"/>
      <family val="2"/>
    </font>
    <font>
      <b/>
      <sz val="14"/>
      <color indexed="10"/>
      <name val="Calibri"/>
      <family val="2"/>
    </font>
    <font>
      <sz val="14"/>
      <color indexed="8"/>
      <name val="Calibri"/>
      <family val="2"/>
    </font>
    <font>
      <u/>
      <sz val="11"/>
      <color indexed="12"/>
      <name val="Calibri"/>
      <family val="2"/>
    </font>
    <font>
      <b/>
      <sz val="11"/>
      <name val="Calibri"/>
      <family val="2"/>
    </font>
    <font>
      <b/>
      <u/>
      <sz val="11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MS Sans Serif"/>
      <family val="2"/>
    </font>
    <font>
      <sz val="10"/>
      <color indexed="8"/>
      <name val="MS Sans Serif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22"/>
        <bgColor indexed="31"/>
      </patternFill>
    </fill>
    <fill>
      <patternFill patternType="solid">
        <fgColor indexed="10"/>
        <bgColor indexed="60"/>
      </patternFill>
    </fill>
    <fill>
      <patternFill patternType="solid">
        <fgColor indexed="47"/>
        <bgColor indexed="22"/>
      </patternFill>
    </fill>
  </fills>
  <borders count="1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18"/>
      </top>
      <bottom/>
      <diagonal/>
    </border>
    <border>
      <left/>
      <right/>
      <top style="thin">
        <color indexed="18"/>
      </top>
      <bottom style="thin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49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0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8" fillId="0" borderId="0"/>
    <xf numFmtId="0" fontId="12" fillId="0" borderId="0"/>
    <xf numFmtId="168" fontId="12" fillId="0" borderId="0" applyFill="0" applyBorder="0" applyAlignment="0" applyProtection="0"/>
    <xf numFmtId="169" fontId="20" fillId="0" borderId="0" applyFill="0" applyBorder="0" applyAlignment="0" applyProtection="0"/>
    <xf numFmtId="0" fontId="20" fillId="0" borderId="0"/>
    <xf numFmtId="0" fontId="22" fillId="0" borderId="0"/>
    <xf numFmtId="0" fontId="23" fillId="0" borderId="0"/>
    <xf numFmtId="0" fontId="2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0" fontId="20" fillId="0" borderId="0" applyFill="0" applyBorder="0" applyAlignment="0" applyProtection="0"/>
    <xf numFmtId="9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0" fontId="12" fillId="0" borderId="0"/>
    <xf numFmtId="0" fontId="24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6" fillId="5" borderId="13" applyNumberFormat="0" applyAlignment="0" applyProtection="0"/>
    <xf numFmtId="0" fontId="27" fillId="3" borderId="14" applyNumberFormat="0" applyAlignment="0" applyProtection="0"/>
    <xf numFmtId="0" fontId="25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0" borderId="0"/>
  </cellStyleXfs>
  <cellXfs count="11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3" fillId="2" borderId="4" xfId="0" applyFont="1" applyFill="1" applyBorder="1" applyAlignment="1">
      <alignment horizontal="left" indent="1"/>
    </xf>
    <xf numFmtId="0" fontId="4" fillId="2" borderId="4" xfId="0" applyFont="1" applyFill="1" applyBorder="1" applyAlignment="1">
      <alignment horizontal="left" indent="1"/>
    </xf>
    <xf numFmtId="0" fontId="6" fillId="2" borderId="4" xfId="0" applyFont="1" applyFill="1" applyBorder="1" applyAlignment="1">
      <alignment horizontal="left" indent="1"/>
    </xf>
    <xf numFmtId="0" fontId="0" fillId="2" borderId="4" xfId="0" applyFill="1" applyBorder="1" applyAlignment="1">
      <alignment horizontal="left" indent="1"/>
    </xf>
    <xf numFmtId="0" fontId="8" fillId="2" borderId="4" xfId="2" applyNumberFormat="1" applyFont="1" applyFill="1" applyBorder="1" applyAlignment="1" applyProtection="1">
      <alignment horizontal="left" indent="1"/>
    </xf>
    <xf numFmtId="0" fontId="2" fillId="2" borderId="6" xfId="2" applyNumberFormat="1" applyFill="1" applyBorder="1" applyAlignment="1" applyProtection="1">
      <alignment horizontal="left" indent="1"/>
    </xf>
    <xf numFmtId="0" fontId="0" fillId="2" borderId="7" xfId="0" applyFill="1" applyBorder="1"/>
    <xf numFmtId="0" fontId="0" fillId="2" borderId="8" xfId="0" applyFill="1" applyBorder="1"/>
    <xf numFmtId="0" fontId="2" fillId="0" borderId="0" xfId="2" applyNumberFormat="1" applyFill="1" applyBorder="1" applyAlignment="1" applyProtection="1"/>
    <xf numFmtId="0" fontId="9" fillId="3" borderId="9" xfId="0" applyFont="1" applyFill="1" applyBorder="1"/>
    <xf numFmtId="0" fontId="11" fillId="0" borderId="0" xfId="0" applyFont="1"/>
    <xf numFmtId="165" fontId="11" fillId="0" borderId="0" xfId="1" applyNumberFormat="1" applyFont="1" applyFill="1" applyBorder="1" applyAlignment="1" applyProtection="1"/>
    <xf numFmtId="0" fontId="11" fillId="0" borderId="10" xfId="0" applyFont="1" applyBorder="1"/>
    <xf numFmtId="165" fontId="0" fillId="0" borderId="0" xfId="1" applyNumberFormat="1" applyFont="1" applyFill="1" applyBorder="1" applyAlignment="1" applyProtection="1"/>
    <xf numFmtId="0" fontId="0" fillId="0" borderId="11" xfId="0" applyBorder="1"/>
    <xf numFmtId="165" fontId="0" fillId="0" borderId="11" xfId="0" applyNumberFormat="1" applyBorder="1"/>
    <xf numFmtId="0" fontId="13" fillId="0" borderId="0" xfId="0" applyFont="1"/>
    <xf numFmtId="165" fontId="13" fillId="0" borderId="0" xfId="1" applyNumberFormat="1" applyFont="1" applyFill="1" applyBorder="1" applyAlignment="1" applyProtection="1"/>
    <xf numFmtId="0" fontId="4" fillId="0" borderId="0" xfId="0" applyFont="1"/>
    <xf numFmtId="165" fontId="4" fillId="0" borderId="0" xfId="1" applyNumberFormat="1" applyFont="1" applyFill="1" applyBorder="1" applyAlignment="1" applyProtection="1"/>
    <xf numFmtId="0" fontId="0" fillId="2" borderId="10" xfId="0" applyFill="1" applyBorder="1"/>
    <xf numFmtId="0" fontId="0" fillId="2" borderId="10" xfId="0" applyFill="1" applyBorder="1" applyAlignment="1">
      <alignment horizontal="right"/>
    </xf>
    <xf numFmtId="0" fontId="0" fillId="2" borderId="12" xfId="0" applyFill="1" applyBorder="1"/>
    <xf numFmtId="0" fontId="0" fillId="2" borderId="12" xfId="0" applyFill="1" applyBorder="1" applyAlignment="1">
      <alignment horizontal="right"/>
    </xf>
    <xf numFmtId="0" fontId="0" fillId="2" borderId="0" xfId="0" applyFill="1" applyAlignment="1">
      <alignment horizontal="right"/>
    </xf>
    <xf numFmtId="0" fontId="5" fillId="2" borderId="12" xfId="0" applyFont="1" applyFill="1" applyBorder="1"/>
    <xf numFmtId="0" fontId="5" fillId="2" borderId="12" xfId="0" applyFont="1" applyFill="1" applyBorder="1" applyAlignment="1">
      <alignment horizontal="right"/>
    </xf>
    <xf numFmtId="165" fontId="5" fillId="0" borderId="12" xfId="1" applyNumberFormat="1" applyFont="1" applyFill="1" applyBorder="1" applyAlignment="1" applyProtection="1"/>
    <xf numFmtId="0" fontId="15" fillId="4" borderId="0" xfId="0" applyFont="1" applyFill="1"/>
    <xf numFmtId="0" fontId="15" fillId="4" borderId="0" xfId="0" applyFont="1" applyFill="1" applyAlignment="1">
      <alignment horizontal="right"/>
    </xf>
    <xf numFmtId="0" fontId="15" fillId="4" borderId="0" xfId="0" applyFont="1" applyFill="1" applyAlignment="1">
      <alignment horizontal="center"/>
    </xf>
    <xf numFmtId="166" fontId="0" fillId="0" borderId="0" xfId="1" applyNumberFormat="1" applyFont="1" applyFill="1" applyBorder="1" applyAlignment="1" applyProtection="1"/>
    <xf numFmtId="0" fontId="15" fillId="0" borderId="0" xfId="0" applyFont="1"/>
    <xf numFmtId="167" fontId="15" fillId="4" borderId="0" xfId="0" applyNumberFormat="1" applyFont="1" applyFill="1"/>
    <xf numFmtId="14" fontId="0" fillId="0" borderId="0" xfId="0" applyNumberFormat="1" applyAlignment="1">
      <alignment horizontal="left"/>
    </xf>
    <xf numFmtId="167" fontId="0" fillId="0" borderId="0" xfId="0" applyNumberFormat="1"/>
    <xf numFmtId="167" fontId="16" fillId="0" borderId="0" xfId="0" applyNumberFormat="1" applyFont="1"/>
    <xf numFmtId="14" fontId="16" fillId="0" borderId="0" xfId="0" applyNumberFormat="1" applyFont="1"/>
    <xf numFmtId="0" fontId="16" fillId="0" borderId="0" xfId="0" applyFont="1"/>
    <xf numFmtId="166" fontId="16" fillId="0" borderId="0" xfId="1" applyNumberFormat="1" applyFont="1" applyFill="1" applyBorder="1" applyAlignment="1" applyProtection="1"/>
    <xf numFmtId="14" fontId="16" fillId="0" borderId="0" xfId="0" applyNumberFormat="1" applyFont="1" applyAlignment="1">
      <alignment horizontal="left"/>
    </xf>
    <xf numFmtId="0" fontId="18" fillId="0" borderId="0" xfId="0" applyFont="1"/>
    <xf numFmtId="167" fontId="19" fillId="0" borderId="0" xfId="0" applyNumberFormat="1" applyFont="1" applyAlignment="1">
      <alignment horizontal="left"/>
    </xf>
    <xf numFmtId="14" fontId="17" fillId="0" borderId="0" xfId="0" applyNumberFormat="1" applyFont="1" applyAlignment="1">
      <alignment horizontal="left"/>
    </xf>
    <xf numFmtId="167" fontId="16" fillId="0" borderId="0" xfId="0" applyNumberFormat="1" applyFont="1" applyAlignment="1">
      <alignment horizontal="center"/>
    </xf>
    <xf numFmtId="166" fontId="12" fillId="0" borderId="0" xfId="1" applyNumberFormat="1" applyFont="1" applyFill="1" applyBorder="1" applyAlignment="1" applyProtection="1"/>
    <xf numFmtId="0" fontId="16" fillId="0" borderId="0" xfId="0" applyFont="1" applyAlignment="1">
      <alignment horizontal="left" vertical="center" wrapText="1" shrinkToFit="1"/>
    </xf>
    <xf numFmtId="0" fontId="0" fillId="0" borderId="0" xfId="0" applyAlignment="1">
      <alignment horizontal="left" vertical="center" wrapText="1" shrinkToFit="1"/>
    </xf>
    <xf numFmtId="14" fontId="0" fillId="0" borderId="0" xfId="0" applyNumberFormat="1"/>
    <xf numFmtId="166" fontId="13" fillId="0" borderId="0" xfId="1" applyNumberFormat="1" applyFont="1" applyFill="1" applyBorder="1" applyAlignment="1" applyProtection="1"/>
    <xf numFmtId="167" fontId="13" fillId="0" borderId="0" xfId="0" applyNumberFormat="1" applyFont="1"/>
    <xf numFmtId="166" fontId="0" fillId="0" borderId="0" xfId="1" applyNumberFormat="1" applyFont="1" applyFill="1" applyBorder="1" applyAlignment="1" applyProtection="1">
      <alignment horizontal="left" vertical="top"/>
    </xf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2" fillId="0" borderId="0" xfId="2" applyNumberFormat="1" applyFill="1" applyBorder="1" applyAlignment="1" applyProtection="1">
      <alignment horizontal="center" vertical="center"/>
    </xf>
    <xf numFmtId="0" fontId="10" fillId="3" borderId="9" xfId="2" applyNumberFormat="1" applyFont="1" applyFill="1" applyBorder="1" applyAlignment="1" applyProtection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166" fontId="0" fillId="0" borderId="0" xfId="1" applyNumberFormat="1" applyFont="1" applyFill="1" applyBorder="1" applyAlignment="1" applyProtection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66" fontId="13" fillId="0" borderId="0" xfId="1" applyNumberFormat="1" applyFont="1" applyFill="1" applyBorder="1" applyAlignment="1" applyProtection="1">
      <alignment horizontal="center" vertical="center"/>
    </xf>
    <xf numFmtId="166" fontId="16" fillId="0" borderId="0" xfId="1" applyNumberFormat="1" applyFont="1" applyFill="1" applyBorder="1" applyAlignment="1" applyProtection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165" fontId="11" fillId="0" borderId="0" xfId="1" applyNumberFormat="1" applyFont="1" applyFill="1" applyBorder="1" applyAlignment="1" applyProtection="1">
      <alignment horizontal="center" vertical="center"/>
    </xf>
    <xf numFmtId="165" fontId="0" fillId="0" borderId="0" xfId="1" applyNumberFormat="1" applyFont="1" applyFill="1" applyBorder="1" applyAlignment="1" applyProtection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165" fontId="13" fillId="0" borderId="0" xfId="1" applyNumberFormat="1" applyFont="1" applyFill="1" applyBorder="1" applyAlignment="1" applyProtection="1">
      <alignment horizontal="center" vertical="center"/>
    </xf>
    <xf numFmtId="165" fontId="4" fillId="0" borderId="0" xfId="1" applyNumberFormat="1" applyFont="1" applyFill="1" applyBorder="1" applyAlignment="1" applyProtection="1">
      <alignment horizontal="center" vertical="center"/>
    </xf>
    <xf numFmtId="167" fontId="15" fillId="4" borderId="0" xfId="0" applyNumberFormat="1" applyFont="1" applyFill="1" applyAlignment="1">
      <alignment horizontal="center" vertical="center"/>
    </xf>
    <xf numFmtId="0" fontId="0" fillId="0" borderId="0" xfId="0" applyAlignment="1">
      <alignment wrapText="1"/>
    </xf>
    <xf numFmtId="0" fontId="0" fillId="2" borderId="2" xfId="0" applyFill="1" applyBorder="1" applyAlignment="1">
      <alignment wrapText="1"/>
    </xf>
    <xf numFmtId="0" fontId="0" fillId="2" borderId="0" xfId="0" applyFill="1" applyAlignment="1">
      <alignment wrapText="1"/>
    </xf>
    <xf numFmtId="0" fontId="0" fillId="2" borderId="7" xfId="0" applyFill="1" applyBorder="1" applyAlignment="1">
      <alignment wrapText="1"/>
    </xf>
    <xf numFmtId="0" fontId="9" fillId="3" borderId="9" xfId="0" applyFont="1" applyFill="1" applyBorder="1" applyAlignment="1">
      <alignment wrapText="1"/>
    </xf>
    <xf numFmtId="0" fontId="11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0" fontId="0" fillId="0" borderId="11" xfId="0" applyBorder="1" applyAlignment="1">
      <alignment horizontal="right" wrapText="1"/>
    </xf>
    <xf numFmtId="0" fontId="13" fillId="0" borderId="0" xfId="0" applyFont="1" applyAlignment="1">
      <alignment horizontal="right" wrapText="1"/>
    </xf>
    <xf numFmtId="0" fontId="4" fillId="0" borderId="0" xfId="0" applyFont="1" applyAlignment="1">
      <alignment horizontal="right" wrapText="1"/>
    </xf>
    <xf numFmtId="0" fontId="0" fillId="2" borderId="10" xfId="0" applyFill="1" applyBorder="1" applyAlignment="1">
      <alignment wrapText="1"/>
    </xf>
    <xf numFmtId="0" fontId="0" fillId="2" borderId="12" xfId="0" applyFill="1" applyBorder="1" applyAlignment="1">
      <alignment wrapText="1"/>
    </xf>
    <xf numFmtId="0" fontId="5" fillId="2" borderId="12" xfId="0" applyFont="1" applyFill="1" applyBorder="1" applyAlignment="1">
      <alignment wrapText="1"/>
    </xf>
    <xf numFmtId="0" fontId="0" fillId="2" borderId="0" xfId="0" applyFill="1" applyAlignment="1">
      <alignment horizontal="right" wrapText="1"/>
    </xf>
    <xf numFmtId="0" fontId="15" fillId="4" borderId="0" xfId="0" applyFont="1" applyFill="1" applyAlignment="1">
      <alignment horizontal="left" wrapText="1"/>
    </xf>
    <xf numFmtId="166" fontId="0" fillId="0" borderId="0" xfId="1" applyNumberFormat="1" applyFont="1" applyFill="1" applyBorder="1" applyAlignment="1" applyProtection="1">
      <alignment horizontal="left" wrapText="1"/>
    </xf>
    <xf numFmtId="0" fontId="0" fillId="0" borderId="0" xfId="0" applyAlignment="1">
      <alignment horizontal="left" wrapText="1"/>
    </xf>
    <xf numFmtId="0" fontId="15" fillId="0" borderId="0" xfId="0" applyFont="1" applyAlignment="1">
      <alignment wrapText="1"/>
    </xf>
    <xf numFmtId="0" fontId="15" fillId="4" borderId="0" xfId="0" applyFont="1" applyFill="1" applyAlignment="1">
      <alignment wrapText="1"/>
    </xf>
    <xf numFmtId="166" fontId="0" fillId="0" borderId="0" xfId="1" applyNumberFormat="1" applyFont="1" applyFill="1" applyBorder="1" applyAlignment="1" applyProtection="1">
      <alignment wrapText="1"/>
    </xf>
    <xf numFmtId="166" fontId="16" fillId="0" borderId="0" xfId="1" applyNumberFormat="1" applyFont="1" applyFill="1" applyBorder="1" applyAlignment="1" applyProtection="1">
      <alignment wrapText="1"/>
    </xf>
    <xf numFmtId="0" fontId="1" fillId="0" borderId="0" xfId="0" applyFont="1" applyAlignment="1">
      <alignment wrapText="1"/>
    </xf>
    <xf numFmtId="166" fontId="12" fillId="0" borderId="0" xfId="1" applyNumberFormat="1" applyFont="1" applyFill="1" applyBorder="1" applyAlignment="1" applyProtection="1">
      <alignment wrapText="1"/>
    </xf>
    <xf numFmtId="166" fontId="13" fillId="0" borderId="0" xfId="1" applyNumberFormat="1" applyFont="1" applyFill="1" applyBorder="1" applyAlignment="1" applyProtection="1">
      <alignment wrapText="1"/>
    </xf>
    <xf numFmtId="0" fontId="16" fillId="0" borderId="0" xfId="0" applyFont="1" applyAlignment="1">
      <alignment wrapText="1"/>
    </xf>
    <xf numFmtId="0" fontId="14" fillId="4" borderId="0" xfId="0" applyFont="1" applyFill="1" applyAlignment="1">
      <alignment horizontal="center"/>
    </xf>
  </cellXfs>
  <cellStyles count="49">
    <cellStyle name="40% - Colore 3 3 5 7 2 3 2" xfId="3" xr:uid="{B33C7EFA-90A2-444E-A79B-9489BEB73934}"/>
    <cellStyle name="Comma" xfId="1" builtinId="3"/>
    <cellStyle name="Comma 2" xfId="41" xr:uid="{6C60DBDB-702D-45A4-9897-0A966B0DD840}"/>
    <cellStyle name="Euro" xfId="9" xr:uid="{94DC0E30-58AE-498C-826B-4857C39394CA}"/>
    <cellStyle name="Excel Built-in Explanatory Text" xfId="7" xr:uid="{3407AAE2-D85A-4CE4-9329-A3EFF6D9C657}"/>
    <cellStyle name="Hyperlink" xfId="2" builtinId="8"/>
    <cellStyle name="Input 2" xfId="38" xr:uid="{BA846C19-844C-4612-9DCF-8C1DB9E8FF74}"/>
    <cellStyle name="Migliaia 2" xfId="6" xr:uid="{B9D75F37-12DE-42D4-9D69-16586699A694}"/>
    <cellStyle name="Migliaia 2 2" xfId="10" xr:uid="{945CB305-EDCC-4E64-8853-7BED617F164D}"/>
    <cellStyle name="Migliaia 2 3" xfId="16" xr:uid="{E66C1967-8B3F-4419-809F-CF7479407C43}"/>
    <cellStyle name="Migliaia 2 3 2" xfId="24" xr:uid="{F849A2B9-636C-4C30-86B6-C2AB37432354}"/>
    <cellStyle name="Migliaia 2 3 3" xfId="37" xr:uid="{2A59B00B-05BE-496C-B86C-7D52ABDD77C2}"/>
    <cellStyle name="Migliaia 2 3 4" xfId="47" xr:uid="{1667E813-5125-425B-B0E7-A49D18FA4DCE}"/>
    <cellStyle name="Migliaia 2 4" xfId="21" xr:uid="{2681A2E8-0939-4E40-AAB0-B2E4F384EF9A}"/>
    <cellStyle name="Migliaia 2 4 2" xfId="35" xr:uid="{3C4CEC11-9BA9-468D-BDEA-B5A6E00A0494}"/>
    <cellStyle name="Migliaia 2 4 3" xfId="45" xr:uid="{D8693675-74C9-428B-B055-07AE2719B8F4}"/>
    <cellStyle name="Migliaia 2 5" xfId="18" xr:uid="{CF659A6C-7B48-482A-A479-0E6F69BBAD0C}"/>
    <cellStyle name="Migliaia 2 6" xfId="27" xr:uid="{88E75D00-5691-436F-A5E3-4DB4B33A95F5}"/>
    <cellStyle name="Migliaia 2 7" xfId="32" xr:uid="{80BFE997-0562-4B9F-A6A0-776F9D017B49}"/>
    <cellStyle name="Migliaia 2 8" xfId="42" xr:uid="{D1FC655A-81E9-41A5-A941-A1FE11D145AC}"/>
    <cellStyle name="Migliaia 3" xfId="4" xr:uid="{D11269FE-904F-4810-9C86-3760963C0EF8}"/>
    <cellStyle name="Migliaia 3 2" xfId="20" xr:uid="{39228F3D-E8F3-4CDD-B5D9-0008874EC32A}"/>
    <cellStyle name="Migliaia 3 3" xfId="28" xr:uid="{5FD4DA03-7CE9-4A37-83D2-B69DEC32B5C0}"/>
    <cellStyle name="Migliaia 3 4" xfId="34" xr:uid="{3FE0615C-1CE0-4677-9FFD-71FA913841A5}"/>
    <cellStyle name="Migliaia 3 5" xfId="44" xr:uid="{7F8094C7-6B26-465F-B76E-39FB379393DD}"/>
    <cellStyle name="Migliaia 4" xfId="15" xr:uid="{E7906EF9-1267-466E-9571-8DAF03249E44}"/>
    <cellStyle name="Migliaia 4 2" xfId="23" xr:uid="{20597349-6ECA-4B9E-86C1-FA4EBF390E4C}"/>
    <cellStyle name="Migliaia 4 3" xfId="36" xr:uid="{D62FCC60-80B2-4D1F-AC6A-8CCD7BA63969}"/>
    <cellStyle name="Migliaia 4 4" xfId="46" xr:uid="{44CA6B2B-849C-448B-8E8F-04AE150824B9}"/>
    <cellStyle name="Migliaia 5" xfId="19" xr:uid="{D8A29EAA-1421-4684-A2DC-BCBE13EAD290}"/>
    <cellStyle name="Migliaia 5 2" xfId="33" xr:uid="{E4E25994-4851-44C2-9710-C21E1AAEE561}"/>
    <cellStyle name="Migliaia 5 3" xfId="43" xr:uid="{C53F9F9B-0ED0-48C7-B6D9-86DA128CC5C2}"/>
    <cellStyle name="Migliaia 6" xfId="17" xr:uid="{84DBD10E-C3E5-40BF-BBC6-6169C0A1A6AF}"/>
    <cellStyle name="Migliaia 7" xfId="25" xr:uid="{A2347724-DA7B-473C-9292-14529BDB4112}"/>
    <cellStyle name="Migliaia 8" xfId="31" xr:uid="{10DA164E-9C0F-4696-91E4-6CF7987A5AFC}"/>
    <cellStyle name="Normal" xfId="0" builtinId="0"/>
    <cellStyle name="Normale 10" xfId="48" xr:uid="{83289262-BCF1-4D42-979F-D08546F4EC64}"/>
    <cellStyle name="Normale 2" xfId="11" xr:uid="{B2E54774-D448-4D4A-8194-F78A681F3602}"/>
    <cellStyle name="Normale 3" xfId="12" xr:uid="{EC984C6D-80BE-41D8-A448-F5EB6705059C}"/>
    <cellStyle name="Normale 3 2" xfId="29" xr:uid="{8781304A-FD9B-4914-946D-148061B080B8}"/>
    <cellStyle name="Normale 3 2 3" xfId="5" xr:uid="{E6100599-D5E0-4563-93A9-10DB68C29B47}"/>
    <cellStyle name="Normale 4" xfId="13" xr:uid="{B2C21474-28C9-4F70-8B96-6AE81D5F8913}"/>
    <cellStyle name="Normale 5" xfId="14" xr:uid="{CADEAB12-7A33-42BF-BDDA-44CE23B99A76}"/>
    <cellStyle name="Normale 5 2" xfId="22" xr:uid="{9EBEAE25-683C-4AF3-8EE0-27396367170E}"/>
    <cellStyle name="Normale 6" xfId="8" xr:uid="{474A9DCE-E180-40A3-8451-E795555E311B}"/>
    <cellStyle name="Output 2" xfId="39" xr:uid="{31AD348C-E3DE-46BA-9097-28AECFFD9EFE}"/>
    <cellStyle name="Percentuale 2" xfId="26" xr:uid="{C27C17AC-4760-4953-BE91-9F8A99C169AC}"/>
    <cellStyle name="Testo descrittivo 3" xfId="30" xr:uid="{F4D56047-A093-4190-9319-46A5498881F2}"/>
    <cellStyle name="Testo descrittivo 3 2" xfId="40" xr:uid="{299B7300-62E4-427E-836F-69CEC43664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97117</xdr:colOff>
      <xdr:row>2</xdr:row>
      <xdr:rowOff>52295</xdr:rowOff>
    </xdr:from>
    <xdr:to>
      <xdr:col>1</xdr:col>
      <xdr:colOff>1830450</xdr:colOff>
      <xdr:row>4</xdr:row>
      <xdr:rowOff>173291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AC35AD0-45CD-47B2-8C02-33F9B687D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411" y="433295"/>
          <a:ext cx="1733333" cy="5238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mministrazione@studioform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9F03A-78A4-40F6-B671-C79DC536088C}">
  <dimension ref="A3:R504"/>
  <sheetViews>
    <sheetView tabSelected="1" topLeftCell="A12" zoomScale="86" zoomScaleNormal="87" workbookViewId="0">
      <selection activeCell="H46" sqref="H46"/>
    </sheetView>
  </sheetViews>
  <sheetFormatPr defaultRowHeight="14.5" x14ac:dyDescent="0.35"/>
  <cols>
    <col min="1" max="1" width="2.54296875" customWidth="1"/>
    <col min="2" max="2" width="29.453125" customWidth="1"/>
    <col min="3" max="3" width="15.26953125" style="59" customWidth="1"/>
    <col min="4" max="4" width="46.7265625" style="87" customWidth="1"/>
    <col min="5" max="5" width="23.26953125" customWidth="1"/>
    <col min="6" max="6" width="12.453125" style="59" customWidth="1"/>
    <col min="7" max="7" width="12.453125" customWidth="1"/>
    <col min="8" max="8" width="26" customWidth="1"/>
    <col min="9" max="9" width="47.1796875" customWidth="1"/>
    <col min="257" max="257" width="2.54296875" customWidth="1"/>
    <col min="258" max="258" width="29.453125" customWidth="1"/>
    <col min="259" max="259" width="6" customWidth="1"/>
    <col min="260" max="260" width="49.54296875" customWidth="1"/>
    <col min="261" max="261" width="29.54296875" customWidth="1"/>
    <col min="262" max="262" width="28.54296875" customWidth="1"/>
    <col min="263" max="263" width="13.54296875" customWidth="1"/>
    <col min="264" max="264" width="20.54296875" customWidth="1"/>
    <col min="265" max="265" width="47.1796875" customWidth="1"/>
    <col min="513" max="513" width="2.54296875" customWidth="1"/>
    <col min="514" max="514" width="29.453125" customWidth="1"/>
    <col min="515" max="515" width="6" customWidth="1"/>
    <col min="516" max="516" width="49.54296875" customWidth="1"/>
    <col min="517" max="517" width="29.54296875" customWidth="1"/>
    <col min="518" max="518" width="28.54296875" customWidth="1"/>
    <col min="519" max="519" width="13.54296875" customWidth="1"/>
    <col min="520" max="520" width="20.54296875" customWidth="1"/>
    <col min="521" max="521" width="47.1796875" customWidth="1"/>
    <col min="769" max="769" width="2.54296875" customWidth="1"/>
    <col min="770" max="770" width="29.453125" customWidth="1"/>
    <col min="771" max="771" width="6" customWidth="1"/>
    <col min="772" max="772" width="49.54296875" customWidth="1"/>
    <col min="773" max="773" width="29.54296875" customWidth="1"/>
    <col min="774" max="774" width="28.54296875" customWidth="1"/>
    <col min="775" max="775" width="13.54296875" customWidth="1"/>
    <col min="776" max="776" width="20.54296875" customWidth="1"/>
    <col min="777" max="777" width="47.1796875" customWidth="1"/>
    <col min="1025" max="1025" width="2.54296875" customWidth="1"/>
    <col min="1026" max="1026" width="29.453125" customWidth="1"/>
    <col min="1027" max="1027" width="6" customWidth="1"/>
    <col min="1028" max="1028" width="49.54296875" customWidth="1"/>
    <col min="1029" max="1029" width="29.54296875" customWidth="1"/>
    <col min="1030" max="1030" width="28.54296875" customWidth="1"/>
    <col min="1031" max="1031" width="13.54296875" customWidth="1"/>
    <col min="1032" max="1032" width="20.54296875" customWidth="1"/>
    <col min="1033" max="1033" width="47.1796875" customWidth="1"/>
    <col min="1281" max="1281" width="2.54296875" customWidth="1"/>
    <col min="1282" max="1282" width="29.453125" customWidth="1"/>
    <col min="1283" max="1283" width="6" customWidth="1"/>
    <col min="1284" max="1284" width="49.54296875" customWidth="1"/>
    <col min="1285" max="1285" width="29.54296875" customWidth="1"/>
    <col min="1286" max="1286" width="28.54296875" customWidth="1"/>
    <col min="1287" max="1287" width="13.54296875" customWidth="1"/>
    <col min="1288" max="1288" width="20.54296875" customWidth="1"/>
    <col min="1289" max="1289" width="47.1796875" customWidth="1"/>
    <col min="1537" max="1537" width="2.54296875" customWidth="1"/>
    <col min="1538" max="1538" width="29.453125" customWidth="1"/>
    <col min="1539" max="1539" width="6" customWidth="1"/>
    <col min="1540" max="1540" width="49.54296875" customWidth="1"/>
    <col min="1541" max="1541" width="29.54296875" customWidth="1"/>
    <col min="1542" max="1542" width="28.54296875" customWidth="1"/>
    <col min="1543" max="1543" width="13.54296875" customWidth="1"/>
    <col min="1544" max="1544" width="20.54296875" customWidth="1"/>
    <col min="1545" max="1545" width="47.1796875" customWidth="1"/>
    <col min="1793" max="1793" width="2.54296875" customWidth="1"/>
    <col min="1794" max="1794" width="29.453125" customWidth="1"/>
    <col min="1795" max="1795" width="6" customWidth="1"/>
    <col min="1796" max="1796" width="49.54296875" customWidth="1"/>
    <col min="1797" max="1797" width="29.54296875" customWidth="1"/>
    <col min="1798" max="1798" width="28.54296875" customWidth="1"/>
    <col min="1799" max="1799" width="13.54296875" customWidth="1"/>
    <col min="1800" max="1800" width="20.54296875" customWidth="1"/>
    <col min="1801" max="1801" width="47.1796875" customWidth="1"/>
    <col min="2049" max="2049" width="2.54296875" customWidth="1"/>
    <col min="2050" max="2050" width="29.453125" customWidth="1"/>
    <col min="2051" max="2051" width="6" customWidth="1"/>
    <col min="2052" max="2052" width="49.54296875" customWidth="1"/>
    <col min="2053" max="2053" width="29.54296875" customWidth="1"/>
    <col min="2054" max="2054" width="28.54296875" customWidth="1"/>
    <col min="2055" max="2055" width="13.54296875" customWidth="1"/>
    <col min="2056" max="2056" width="20.54296875" customWidth="1"/>
    <col min="2057" max="2057" width="47.1796875" customWidth="1"/>
    <col min="2305" max="2305" width="2.54296875" customWidth="1"/>
    <col min="2306" max="2306" width="29.453125" customWidth="1"/>
    <col min="2307" max="2307" width="6" customWidth="1"/>
    <col min="2308" max="2308" width="49.54296875" customWidth="1"/>
    <col min="2309" max="2309" width="29.54296875" customWidth="1"/>
    <col min="2310" max="2310" width="28.54296875" customWidth="1"/>
    <col min="2311" max="2311" width="13.54296875" customWidth="1"/>
    <col min="2312" max="2312" width="20.54296875" customWidth="1"/>
    <col min="2313" max="2313" width="47.1796875" customWidth="1"/>
    <col min="2561" max="2561" width="2.54296875" customWidth="1"/>
    <col min="2562" max="2562" width="29.453125" customWidth="1"/>
    <col min="2563" max="2563" width="6" customWidth="1"/>
    <col min="2564" max="2564" width="49.54296875" customWidth="1"/>
    <col min="2565" max="2565" width="29.54296875" customWidth="1"/>
    <col min="2566" max="2566" width="28.54296875" customWidth="1"/>
    <col min="2567" max="2567" width="13.54296875" customWidth="1"/>
    <col min="2568" max="2568" width="20.54296875" customWidth="1"/>
    <col min="2569" max="2569" width="47.1796875" customWidth="1"/>
    <col min="2817" max="2817" width="2.54296875" customWidth="1"/>
    <col min="2818" max="2818" width="29.453125" customWidth="1"/>
    <col min="2819" max="2819" width="6" customWidth="1"/>
    <col min="2820" max="2820" width="49.54296875" customWidth="1"/>
    <col min="2821" max="2821" width="29.54296875" customWidth="1"/>
    <col min="2822" max="2822" width="28.54296875" customWidth="1"/>
    <col min="2823" max="2823" width="13.54296875" customWidth="1"/>
    <col min="2824" max="2824" width="20.54296875" customWidth="1"/>
    <col min="2825" max="2825" width="47.1796875" customWidth="1"/>
    <col min="3073" max="3073" width="2.54296875" customWidth="1"/>
    <col min="3074" max="3074" width="29.453125" customWidth="1"/>
    <col min="3075" max="3075" width="6" customWidth="1"/>
    <col min="3076" max="3076" width="49.54296875" customWidth="1"/>
    <col min="3077" max="3077" width="29.54296875" customWidth="1"/>
    <col min="3078" max="3078" width="28.54296875" customWidth="1"/>
    <col min="3079" max="3079" width="13.54296875" customWidth="1"/>
    <col min="3080" max="3080" width="20.54296875" customWidth="1"/>
    <col min="3081" max="3081" width="47.1796875" customWidth="1"/>
    <col min="3329" max="3329" width="2.54296875" customWidth="1"/>
    <col min="3330" max="3330" width="29.453125" customWidth="1"/>
    <col min="3331" max="3331" width="6" customWidth="1"/>
    <col min="3332" max="3332" width="49.54296875" customWidth="1"/>
    <col min="3333" max="3333" width="29.54296875" customWidth="1"/>
    <col min="3334" max="3334" width="28.54296875" customWidth="1"/>
    <col min="3335" max="3335" width="13.54296875" customWidth="1"/>
    <col min="3336" max="3336" width="20.54296875" customWidth="1"/>
    <col min="3337" max="3337" width="47.1796875" customWidth="1"/>
    <col min="3585" max="3585" width="2.54296875" customWidth="1"/>
    <col min="3586" max="3586" width="29.453125" customWidth="1"/>
    <col min="3587" max="3587" width="6" customWidth="1"/>
    <col min="3588" max="3588" width="49.54296875" customWidth="1"/>
    <col min="3589" max="3589" width="29.54296875" customWidth="1"/>
    <col min="3590" max="3590" width="28.54296875" customWidth="1"/>
    <col min="3591" max="3591" width="13.54296875" customWidth="1"/>
    <col min="3592" max="3592" width="20.54296875" customWidth="1"/>
    <col min="3593" max="3593" width="47.1796875" customWidth="1"/>
    <col min="3841" max="3841" width="2.54296875" customWidth="1"/>
    <col min="3842" max="3842" width="29.453125" customWidth="1"/>
    <col min="3843" max="3843" width="6" customWidth="1"/>
    <col min="3844" max="3844" width="49.54296875" customWidth="1"/>
    <col min="3845" max="3845" width="29.54296875" customWidth="1"/>
    <col min="3846" max="3846" width="28.54296875" customWidth="1"/>
    <col min="3847" max="3847" width="13.54296875" customWidth="1"/>
    <col min="3848" max="3848" width="20.54296875" customWidth="1"/>
    <col min="3849" max="3849" width="47.1796875" customWidth="1"/>
    <col min="4097" max="4097" width="2.54296875" customWidth="1"/>
    <col min="4098" max="4098" width="29.453125" customWidth="1"/>
    <col min="4099" max="4099" width="6" customWidth="1"/>
    <col min="4100" max="4100" width="49.54296875" customWidth="1"/>
    <col min="4101" max="4101" width="29.54296875" customWidth="1"/>
    <col min="4102" max="4102" width="28.54296875" customWidth="1"/>
    <col min="4103" max="4103" width="13.54296875" customWidth="1"/>
    <col min="4104" max="4104" width="20.54296875" customWidth="1"/>
    <col min="4105" max="4105" width="47.1796875" customWidth="1"/>
    <col min="4353" max="4353" width="2.54296875" customWidth="1"/>
    <col min="4354" max="4354" width="29.453125" customWidth="1"/>
    <col min="4355" max="4355" width="6" customWidth="1"/>
    <col min="4356" max="4356" width="49.54296875" customWidth="1"/>
    <col min="4357" max="4357" width="29.54296875" customWidth="1"/>
    <col min="4358" max="4358" width="28.54296875" customWidth="1"/>
    <col min="4359" max="4359" width="13.54296875" customWidth="1"/>
    <col min="4360" max="4360" width="20.54296875" customWidth="1"/>
    <col min="4361" max="4361" width="47.1796875" customWidth="1"/>
    <col min="4609" max="4609" width="2.54296875" customWidth="1"/>
    <col min="4610" max="4610" width="29.453125" customWidth="1"/>
    <col min="4611" max="4611" width="6" customWidth="1"/>
    <col min="4612" max="4612" width="49.54296875" customWidth="1"/>
    <col min="4613" max="4613" width="29.54296875" customWidth="1"/>
    <col min="4614" max="4614" width="28.54296875" customWidth="1"/>
    <col min="4615" max="4615" width="13.54296875" customWidth="1"/>
    <col min="4616" max="4616" width="20.54296875" customWidth="1"/>
    <col min="4617" max="4617" width="47.1796875" customWidth="1"/>
    <col min="4865" max="4865" width="2.54296875" customWidth="1"/>
    <col min="4866" max="4866" width="29.453125" customWidth="1"/>
    <col min="4867" max="4867" width="6" customWidth="1"/>
    <col min="4868" max="4868" width="49.54296875" customWidth="1"/>
    <col min="4869" max="4869" width="29.54296875" customWidth="1"/>
    <col min="4870" max="4870" width="28.54296875" customWidth="1"/>
    <col min="4871" max="4871" width="13.54296875" customWidth="1"/>
    <col min="4872" max="4872" width="20.54296875" customWidth="1"/>
    <col min="4873" max="4873" width="47.1796875" customWidth="1"/>
    <col min="5121" max="5121" width="2.54296875" customWidth="1"/>
    <col min="5122" max="5122" width="29.453125" customWidth="1"/>
    <col min="5123" max="5123" width="6" customWidth="1"/>
    <col min="5124" max="5124" width="49.54296875" customWidth="1"/>
    <col min="5125" max="5125" width="29.54296875" customWidth="1"/>
    <col min="5126" max="5126" width="28.54296875" customWidth="1"/>
    <col min="5127" max="5127" width="13.54296875" customWidth="1"/>
    <col min="5128" max="5128" width="20.54296875" customWidth="1"/>
    <col min="5129" max="5129" width="47.1796875" customWidth="1"/>
    <col min="5377" max="5377" width="2.54296875" customWidth="1"/>
    <col min="5378" max="5378" width="29.453125" customWidth="1"/>
    <col min="5379" max="5379" width="6" customWidth="1"/>
    <col min="5380" max="5380" width="49.54296875" customWidth="1"/>
    <col min="5381" max="5381" width="29.54296875" customWidth="1"/>
    <col min="5382" max="5382" width="28.54296875" customWidth="1"/>
    <col min="5383" max="5383" width="13.54296875" customWidth="1"/>
    <col min="5384" max="5384" width="20.54296875" customWidth="1"/>
    <col min="5385" max="5385" width="47.1796875" customWidth="1"/>
    <col min="5633" max="5633" width="2.54296875" customWidth="1"/>
    <col min="5634" max="5634" width="29.453125" customWidth="1"/>
    <col min="5635" max="5635" width="6" customWidth="1"/>
    <col min="5636" max="5636" width="49.54296875" customWidth="1"/>
    <col min="5637" max="5637" width="29.54296875" customWidth="1"/>
    <col min="5638" max="5638" width="28.54296875" customWidth="1"/>
    <col min="5639" max="5639" width="13.54296875" customWidth="1"/>
    <col min="5640" max="5640" width="20.54296875" customWidth="1"/>
    <col min="5641" max="5641" width="47.1796875" customWidth="1"/>
    <col min="5889" max="5889" width="2.54296875" customWidth="1"/>
    <col min="5890" max="5890" width="29.453125" customWidth="1"/>
    <col min="5891" max="5891" width="6" customWidth="1"/>
    <col min="5892" max="5892" width="49.54296875" customWidth="1"/>
    <col min="5893" max="5893" width="29.54296875" customWidth="1"/>
    <col min="5894" max="5894" width="28.54296875" customWidth="1"/>
    <col min="5895" max="5895" width="13.54296875" customWidth="1"/>
    <col min="5896" max="5896" width="20.54296875" customWidth="1"/>
    <col min="5897" max="5897" width="47.1796875" customWidth="1"/>
    <col min="6145" max="6145" width="2.54296875" customWidth="1"/>
    <col min="6146" max="6146" width="29.453125" customWidth="1"/>
    <col min="6147" max="6147" width="6" customWidth="1"/>
    <col min="6148" max="6148" width="49.54296875" customWidth="1"/>
    <col min="6149" max="6149" width="29.54296875" customWidth="1"/>
    <col min="6150" max="6150" width="28.54296875" customWidth="1"/>
    <col min="6151" max="6151" width="13.54296875" customWidth="1"/>
    <col min="6152" max="6152" width="20.54296875" customWidth="1"/>
    <col min="6153" max="6153" width="47.1796875" customWidth="1"/>
    <col min="6401" max="6401" width="2.54296875" customWidth="1"/>
    <col min="6402" max="6402" width="29.453125" customWidth="1"/>
    <col min="6403" max="6403" width="6" customWidth="1"/>
    <col min="6404" max="6404" width="49.54296875" customWidth="1"/>
    <col min="6405" max="6405" width="29.54296875" customWidth="1"/>
    <col min="6406" max="6406" width="28.54296875" customWidth="1"/>
    <col min="6407" max="6407" width="13.54296875" customWidth="1"/>
    <col min="6408" max="6408" width="20.54296875" customWidth="1"/>
    <col min="6409" max="6409" width="47.1796875" customWidth="1"/>
    <col min="6657" max="6657" width="2.54296875" customWidth="1"/>
    <col min="6658" max="6658" width="29.453125" customWidth="1"/>
    <col min="6659" max="6659" width="6" customWidth="1"/>
    <col min="6660" max="6660" width="49.54296875" customWidth="1"/>
    <col min="6661" max="6661" width="29.54296875" customWidth="1"/>
    <col min="6662" max="6662" width="28.54296875" customWidth="1"/>
    <col min="6663" max="6663" width="13.54296875" customWidth="1"/>
    <col min="6664" max="6664" width="20.54296875" customWidth="1"/>
    <col min="6665" max="6665" width="47.1796875" customWidth="1"/>
    <col min="6913" max="6913" width="2.54296875" customWidth="1"/>
    <col min="6914" max="6914" width="29.453125" customWidth="1"/>
    <col min="6915" max="6915" width="6" customWidth="1"/>
    <col min="6916" max="6916" width="49.54296875" customWidth="1"/>
    <col min="6917" max="6917" width="29.54296875" customWidth="1"/>
    <col min="6918" max="6918" width="28.54296875" customWidth="1"/>
    <col min="6919" max="6919" width="13.54296875" customWidth="1"/>
    <col min="6920" max="6920" width="20.54296875" customWidth="1"/>
    <col min="6921" max="6921" width="47.1796875" customWidth="1"/>
    <col min="7169" max="7169" width="2.54296875" customWidth="1"/>
    <col min="7170" max="7170" width="29.453125" customWidth="1"/>
    <col min="7171" max="7171" width="6" customWidth="1"/>
    <col min="7172" max="7172" width="49.54296875" customWidth="1"/>
    <col min="7173" max="7173" width="29.54296875" customWidth="1"/>
    <col min="7174" max="7174" width="28.54296875" customWidth="1"/>
    <col min="7175" max="7175" width="13.54296875" customWidth="1"/>
    <col min="7176" max="7176" width="20.54296875" customWidth="1"/>
    <col min="7177" max="7177" width="47.1796875" customWidth="1"/>
    <col min="7425" max="7425" width="2.54296875" customWidth="1"/>
    <col min="7426" max="7426" width="29.453125" customWidth="1"/>
    <col min="7427" max="7427" width="6" customWidth="1"/>
    <col min="7428" max="7428" width="49.54296875" customWidth="1"/>
    <col min="7429" max="7429" width="29.54296875" customWidth="1"/>
    <col min="7430" max="7430" width="28.54296875" customWidth="1"/>
    <col min="7431" max="7431" width="13.54296875" customWidth="1"/>
    <col min="7432" max="7432" width="20.54296875" customWidth="1"/>
    <col min="7433" max="7433" width="47.1796875" customWidth="1"/>
    <col min="7681" max="7681" width="2.54296875" customWidth="1"/>
    <col min="7682" max="7682" width="29.453125" customWidth="1"/>
    <col min="7683" max="7683" width="6" customWidth="1"/>
    <col min="7684" max="7684" width="49.54296875" customWidth="1"/>
    <col min="7685" max="7685" width="29.54296875" customWidth="1"/>
    <col min="7686" max="7686" width="28.54296875" customWidth="1"/>
    <col min="7687" max="7687" width="13.54296875" customWidth="1"/>
    <col min="7688" max="7688" width="20.54296875" customWidth="1"/>
    <col min="7689" max="7689" width="47.1796875" customWidth="1"/>
    <col min="7937" max="7937" width="2.54296875" customWidth="1"/>
    <col min="7938" max="7938" width="29.453125" customWidth="1"/>
    <col min="7939" max="7939" width="6" customWidth="1"/>
    <col min="7940" max="7940" width="49.54296875" customWidth="1"/>
    <col min="7941" max="7941" width="29.54296875" customWidth="1"/>
    <col min="7942" max="7942" width="28.54296875" customWidth="1"/>
    <col min="7943" max="7943" width="13.54296875" customWidth="1"/>
    <col min="7944" max="7944" width="20.54296875" customWidth="1"/>
    <col min="7945" max="7945" width="47.1796875" customWidth="1"/>
    <col min="8193" max="8193" width="2.54296875" customWidth="1"/>
    <col min="8194" max="8194" width="29.453125" customWidth="1"/>
    <col min="8195" max="8195" width="6" customWidth="1"/>
    <col min="8196" max="8196" width="49.54296875" customWidth="1"/>
    <col min="8197" max="8197" width="29.54296875" customWidth="1"/>
    <col min="8198" max="8198" width="28.54296875" customWidth="1"/>
    <col min="8199" max="8199" width="13.54296875" customWidth="1"/>
    <col min="8200" max="8200" width="20.54296875" customWidth="1"/>
    <col min="8201" max="8201" width="47.1796875" customWidth="1"/>
    <col min="8449" max="8449" width="2.54296875" customWidth="1"/>
    <col min="8450" max="8450" width="29.453125" customWidth="1"/>
    <col min="8451" max="8451" width="6" customWidth="1"/>
    <col min="8452" max="8452" width="49.54296875" customWidth="1"/>
    <col min="8453" max="8453" width="29.54296875" customWidth="1"/>
    <col min="8454" max="8454" width="28.54296875" customWidth="1"/>
    <col min="8455" max="8455" width="13.54296875" customWidth="1"/>
    <col min="8456" max="8456" width="20.54296875" customWidth="1"/>
    <col min="8457" max="8457" width="47.1796875" customWidth="1"/>
    <col min="8705" max="8705" width="2.54296875" customWidth="1"/>
    <col min="8706" max="8706" width="29.453125" customWidth="1"/>
    <col min="8707" max="8707" width="6" customWidth="1"/>
    <col min="8708" max="8708" width="49.54296875" customWidth="1"/>
    <col min="8709" max="8709" width="29.54296875" customWidth="1"/>
    <col min="8710" max="8710" width="28.54296875" customWidth="1"/>
    <col min="8711" max="8711" width="13.54296875" customWidth="1"/>
    <col min="8712" max="8712" width="20.54296875" customWidth="1"/>
    <col min="8713" max="8713" width="47.1796875" customWidth="1"/>
    <col min="8961" max="8961" width="2.54296875" customWidth="1"/>
    <col min="8962" max="8962" width="29.453125" customWidth="1"/>
    <col min="8963" max="8963" width="6" customWidth="1"/>
    <col min="8964" max="8964" width="49.54296875" customWidth="1"/>
    <col min="8965" max="8965" width="29.54296875" customWidth="1"/>
    <col min="8966" max="8966" width="28.54296875" customWidth="1"/>
    <col min="8967" max="8967" width="13.54296875" customWidth="1"/>
    <col min="8968" max="8968" width="20.54296875" customWidth="1"/>
    <col min="8969" max="8969" width="47.1796875" customWidth="1"/>
    <col min="9217" max="9217" width="2.54296875" customWidth="1"/>
    <col min="9218" max="9218" width="29.453125" customWidth="1"/>
    <col min="9219" max="9219" width="6" customWidth="1"/>
    <col min="9220" max="9220" width="49.54296875" customWidth="1"/>
    <col min="9221" max="9221" width="29.54296875" customWidth="1"/>
    <col min="9222" max="9222" width="28.54296875" customWidth="1"/>
    <col min="9223" max="9223" width="13.54296875" customWidth="1"/>
    <col min="9224" max="9224" width="20.54296875" customWidth="1"/>
    <col min="9225" max="9225" width="47.1796875" customWidth="1"/>
    <col min="9473" max="9473" width="2.54296875" customWidth="1"/>
    <col min="9474" max="9474" width="29.453125" customWidth="1"/>
    <col min="9475" max="9475" width="6" customWidth="1"/>
    <col min="9476" max="9476" width="49.54296875" customWidth="1"/>
    <col min="9477" max="9477" width="29.54296875" customWidth="1"/>
    <col min="9478" max="9478" width="28.54296875" customWidth="1"/>
    <col min="9479" max="9479" width="13.54296875" customWidth="1"/>
    <col min="9480" max="9480" width="20.54296875" customWidth="1"/>
    <col min="9481" max="9481" width="47.1796875" customWidth="1"/>
    <col min="9729" max="9729" width="2.54296875" customWidth="1"/>
    <col min="9730" max="9730" width="29.453125" customWidth="1"/>
    <col min="9731" max="9731" width="6" customWidth="1"/>
    <col min="9732" max="9732" width="49.54296875" customWidth="1"/>
    <col min="9733" max="9733" width="29.54296875" customWidth="1"/>
    <col min="9734" max="9734" width="28.54296875" customWidth="1"/>
    <col min="9735" max="9735" width="13.54296875" customWidth="1"/>
    <col min="9736" max="9736" width="20.54296875" customWidth="1"/>
    <col min="9737" max="9737" width="47.1796875" customWidth="1"/>
    <col min="9985" max="9985" width="2.54296875" customWidth="1"/>
    <col min="9986" max="9986" width="29.453125" customWidth="1"/>
    <col min="9987" max="9987" width="6" customWidth="1"/>
    <col min="9988" max="9988" width="49.54296875" customWidth="1"/>
    <col min="9989" max="9989" width="29.54296875" customWidth="1"/>
    <col min="9990" max="9990" width="28.54296875" customWidth="1"/>
    <col min="9991" max="9991" width="13.54296875" customWidth="1"/>
    <col min="9992" max="9992" width="20.54296875" customWidth="1"/>
    <col min="9993" max="9993" width="47.1796875" customWidth="1"/>
    <col min="10241" max="10241" width="2.54296875" customWidth="1"/>
    <col min="10242" max="10242" width="29.453125" customWidth="1"/>
    <col min="10243" max="10243" width="6" customWidth="1"/>
    <col min="10244" max="10244" width="49.54296875" customWidth="1"/>
    <col min="10245" max="10245" width="29.54296875" customWidth="1"/>
    <col min="10246" max="10246" width="28.54296875" customWidth="1"/>
    <col min="10247" max="10247" width="13.54296875" customWidth="1"/>
    <col min="10248" max="10248" width="20.54296875" customWidth="1"/>
    <col min="10249" max="10249" width="47.1796875" customWidth="1"/>
    <col min="10497" max="10497" width="2.54296875" customWidth="1"/>
    <col min="10498" max="10498" width="29.453125" customWidth="1"/>
    <col min="10499" max="10499" width="6" customWidth="1"/>
    <col min="10500" max="10500" width="49.54296875" customWidth="1"/>
    <col min="10501" max="10501" width="29.54296875" customWidth="1"/>
    <col min="10502" max="10502" width="28.54296875" customWidth="1"/>
    <col min="10503" max="10503" width="13.54296875" customWidth="1"/>
    <col min="10504" max="10504" width="20.54296875" customWidth="1"/>
    <col min="10505" max="10505" width="47.1796875" customWidth="1"/>
    <col min="10753" max="10753" width="2.54296875" customWidth="1"/>
    <col min="10754" max="10754" width="29.453125" customWidth="1"/>
    <col min="10755" max="10755" width="6" customWidth="1"/>
    <col min="10756" max="10756" width="49.54296875" customWidth="1"/>
    <col min="10757" max="10757" width="29.54296875" customWidth="1"/>
    <col min="10758" max="10758" width="28.54296875" customWidth="1"/>
    <col min="10759" max="10759" width="13.54296875" customWidth="1"/>
    <col min="10760" max="10760" width="20.54296875" customWidth="1"/>
    <col min="10761" max="10761" width="47.1796875" customWidth="1"/>
    <col min="11009" max="11009" width="2.54296875" customWidth="1"/>
    <col min="11010" max="11010" width="29.453125" customWidth="1"/>
    <col min="11011" max="11011" width="6" customWidth="1"/>
    <col min="11012" max="11012" width="49.54296875" customWidth="1"/>
    <col min="11013" max="11013" width="29.54296875" customWidth="1"/>
    <col min="11014" max="11014" width="28.54296875" customWidth="1"/>
    <col min="11015" max="11015" width="13.54296875" customWidth="1"/>
    <col min="11016" max="11016" width="20.54296875" customWidth="1"/>
    <col min="11017" max="11017" width="47.1796875" customWidth="1"/>
    <col min="11265" max="11265" width="2.54296875" customWidth="1"/>
    <col min="11266" max="11266" width="29.453125" customWidth="1"/>
    <col min="11267" max="11267" width="6" customWidth="1"/>
    <col min="11268" max="11268" width="49.54296875" customWidth="1"/>
    <col min="11269" max="11269" width="29.54296875" customWidth="1"/>
    <col min="11270" max="11270" width="28.54296875" customWidth="1"/>
    <col min="11271" max="11271" width="13.54296875" customWidth="1"/>
    <col min="11272" max="11272" width="20.54296875" customWidth="1"/>
    <col min="11273" max="11273" width="47.1796875" customWidth="1"/>
    <col min="11521" max="11521" width="2.54296875" customWidth="1"/>
    <col min="11522" max="11522" width="29.453125" customWidth="1"/>
    <col min="11523" max="11523" width="6" customWidth="1"/>
    <col min="11524" max="11524" width="49.54296875" customWidth="1"/>
    <col min="11525" max="11525" width="29.54296875" customWidth="1"/>
    <col min="11526" max="11526" width="28.54296875" customWidth="1"/>
    <col min="11527" max="11527" width="13.54296875" customWidth="1"/>
    <col min="11528" max="11528" width="20.54296875" customWidth="1"/>
    <col min="11529" max="11529" width="47.1796875" customWidth="1"/>
    <col min="11777" max="11777" width="2.54296875" customWidth="1"/>
    <col min="11778" max="11778" width="29.453125" customWidth="1"/>
    <col min="11779" max="11779" width="6" customWidth="1"/>
    <col min="11780" max="11780" width="49.54296875" customWidth="1"/>
    <col min="11781" max="11781" width="29.54296875" customWidth="1"/>
    <col min="11782" max="11782" width="28.54296875" customWidth="1"/>
    <col min="11783" max="11783" width="13.54296875" customWidth="1"/>
    <col min="11784" max="11784" width="20.54296875" customWidth="1"/>
    <col min="11785" max="11785" width="47.1796875" customWidth="1"/>
    <col min="12033" max="12033" width="2.54296875" customWidth="1"/>
    <col min="12034" max="12034" width="29.453125" customWidth="1"/>
    <col min="12035" max="12035" width="6" customWidth="1"/>
    <col min="12036" max="12036" width="49.54296875" customWidth="1"/>
    <col min="12037" max="12037" width="29.54296875" customWidth="1"/>
    <col min="12038" max="12038" width="28.54296875" customWidth="1"/>
    <col min="12039" max="12039" width="13.54296875" customWidth="1"/>
    <col min="12040" max="12040" width="20.54296875" customWidth="1"/>
    <col min="12041" max="12041" width="47.1796875" customWidth="1"/>
    <col min="12289" max="12289" width="2.54296875" customWidth="1"/>
    <col min="12290" max="12290" width="29.453125" customWidth="1"/>
    <col min="12291" max="12291" width="6" customWidth="1"/>
    <col min="12292" max="12292" width="49.54296875" customWidth="1"/>
    <col min="12293" max="12293" width="29.54296875" customWidth="1"/>
    <col min="12294" max="12294" width="28.54296875" customWidth="1"/>
    <col min="12295" max="12295" width="13.54296875" customWidth="1"/>
    <col min="12296" max="12296" width="20.54296875" customWidth="1"/>
    <col min="12297" max="12297" width="47.1796875" customWidth="1"/>
    <col min="12545" max="12545" width="2.54296875" customWidth="1"/>
    <col min="12546" max="12546" width="29.453125" customWidth="1"/>
    <col min="12547" max="12547" width="6" customWidth="1"/>
    <col min="12548" max="12548" width="49.54296875" customWidth="1"/>
    <col min="12549" max="12549" width="29.54296875" customWidth="1"/>
    <col min="12550" max="12550" width="28.54296875" customWidth="1"/>
    <col min="12551" max="12551" width="13.54296875" customWidth="1"/>
    <col min="12552" max="12552" width="20.54296875" customWidth="1"/>
    <col min="12553" max="12553" width="47.1796875" customWidth="1"/>
    <col min="12801" max="12801" width="2.54296875" customWidth="1"/>
    <col min="12802" max="12802" width="29.453125" customWidth="1"/>
    <col min="12803" max="12803" width="6" customWidth="1"/>
    <col min="12804" max="12804" width="49.54296875" customWidth="1"/>
    <col min="12805" max="12805" width="29.54296875" customWidth="1"/>
    <col min="12806" max="12806" width="28.54296875" customWidth="1"/>
    <col min="12807" max="12807" width="13.54296875" customWidth="1"/>
    <col min="12808" max="12808" width="20.54296875" customWidth="1"/>
    <col min="12809" max="12809" width="47.1796875" customWidth="1"/>
    <col min="13057" max="13057" width="2.54296875" customWidth="1"/>
    <col min="13058" max="13058" width="29.453125" customWidth="1"/>
    <col min="13059" max="13059" width="6" customWidth="1"/>
    <col min="13060" max="13060" width="49.54296875" customWidth="1"/>
    <col min="13061" max="13061" width="29.54296875" customWidth="1"/>
    <col min="13062" max="13062" width="28.54296875" customWidth="1"/>
    <col min="13063" max="13063" width="13.54296875" customWidth="1"/>
    <col min="13064" max="13064" width="20.54296875" customWidth="1"/>
    <col min="13065" max="13065" width="47.1796875" customWidth="1"/>
    <col min="13313" max="13313" width="2.54296875" customWidth="1"/>
    <col min="13314" max="13314" width="29.453125" customWidth="1"/>
    <col min="13315" max="13315" width="6" customWidth="1"/>
    <col min="13316" max="13316" width="49.54296875" customWidth="1"/>
    <col min="13317" max="13317" width="29.54296875" customWidth="1"/>
    <col min="13318" max="13318" width="28.54296875" customWidth="1"/>
    <col min="13319" max="13319" width="13.54296875" customWidth="1"/>
    <col min="13320" max="13320" width="20.54296875" customWidth="1"/>
    <col min="13321" max="13321" width="47.1796875" customWidth="1"/>
    <col min="13569" max="13569" width="2.54296875" customWidth="1"/>
    <col min="13570" max="13570" width="29.453125" customWidth="1"/>
    <col min="13571" max="13571" width="6" customWidth="1"/>
    <col min="13572" max="13572" width="49.54296875" customWidth="1"/>
    <col min="13573" max="13573" width="29.54296875" customWidth="1"/>
    <col min="13574" max="13574" width="28.54296875" customWidth="1"/>
    <col min="13575" max="13575" width="13.54296875" customWidth="1"/>
    <col min="13576" max="13576" width="20.54296875" customWidth="1"/>
    <col min="13577" max="13577" width="47.1796875" customWidth="1"/>
    <col min="13825" max="13825" width="2.54296875" customWidth="1"/>
    <col min="13826" max="13826" width="29.453125" customWidth="1"/>
    <col min="13827" max="13827" width="6" customWidth="1"/>
    <col min="13828" max="13828" width="49.54296875" customWidth="1"/>
    <col min="13829" max="13829" width="29.54296875" customWidth="1"/>
    <col min="13830" max="13830" width="28.54296875" customWidth="1"/>
    <col min="13831" max="13831" width="13.54296875" customWidth="1"/>
    <col min="13832" max="13832" width="20.54296875" customWidth="1"/>
    <col min="13833" max="13833" width="47.1796875" customWidth="1"/>
    <col min="14081" max="14081" width="2.54296875" customWidth="1"/>
    <col min="14082" max="14082" width="29.453125" customWidth="1"/>
    <col min="14083" max="14083" width="6" customWidth="1"/>
    <col min="14084" max="14084" width="49.54296875" customWidth="1"/>
    <col min="14085" max="14085" width="29.54296875" customWidth="1"/>
    <col min="14086" max="14086" width="28.54296875" customWidth="1"/>
    <col min="14087" max="14087" width="13.54296875" customWidth="1"/>
    <col min="14088" max="14088" width="20.54296875" customWidth="1"/>
    <col min="14089" max="14089" width="47.1796875" customWidth="1"/>
    <col min="14337" max="14337" width="2.54296875" customWidth="1"/>
    <col min="14338" max="14338" width="29.453125" customWidth="1"/>
    <col min="14339" max="14339" width="6" customWidth="1"/>
    <col min="14340" max="14340" width="49.54296875" customWidth="1"/>
    <col min="14341" max="14341" width="29.54296875" customWidth="1"/>
    <col min="14342" max="14342" width="28.54296875" customWidth="1"/>
    <col min="14343" max="14343" width="13.54296875" customWidth="1"/>
    <col min="14344" max="14344" width="20.54296875" customWidth="1"/>
    <col min="14345" max="14345" width="47.1796875" customWidth="1"/>
    <col min="14593" max="14593" width="2.54296875" customWidth="1"/>
    <col min="14594" max="14594" width="29.453125" customWidth="1"/>
    <col min="14595" max="14595" width="6" customWidth="1"/>
    <col min="14596" max="14596" width="49.54296875" customWidth="1"/>
    <col min="14597" max="14597" width="29.54296875" customWidth="1"/>
    <col min="14598" max="14598" width="28.54296875" customWidth="1"/>
    <col min="14599" max="14599" width="13.54296875" customWidth="1"/>
    <col min="14600" max="14600" width="20.54296875" customWidth="1"/>
    <col min="14601" max="14601" width="47.1796875" customWidth="1"/>
    <col min="14849" max="14849" width="2.54296875" customWidth="1"/>
    <col min="14850" max="14850" width="29.453125" customWidth="1"/>
    <col min="14851" max="14851" width="6" customWidth="1"/>
    <col min="14852" max="14852" width="49.54296875" customWidth="1"/>
    <col min="14853" max="14853" width="29.54296875" customWidth="1"/>
    <col min="14854" max="14854" width="28.54296875" customWidth="1"/>
    <col min="14855" max="14855" width="13.54296875" customWidth="1"/>
    <col min="14856" max="14856" width="20.54296875" customWidth="1"/>
    <col min="14857" max="14857" width="47.1796875" customWidth="1"/>
    <col min="15105" max="15105" width="2.54296875" customWidth="1"/>
    <col min="15106" max="15106" width="29.453125" customWidth="1"/>
    <col min="15107" max="15107" width="6" customWidth="1"/>
    <col min="15108" max="15108" width="49.54296875" customWidth="1"/>
    <col min="15109" max="15109" width="29.54296875" customWidth="1"/>
    <col min="15110" max="15110" width="28.54296875" customWidth="1"/>
    <col min="15111" max="15111" width="13.54296875" customWidth="1"/>
    <col min="15112" max="15112" width="20.54296875" customWidth="1"/>
    <col min="15113" max="15113" width="47.1796875" customWidth="1"/>
    <col min="15361" max="15361" width="2.54296875" customWidth="1"/>
    <col min="15362" max="15362" width="29.453125" customWidth="1"/>
    <col min="15363" max="15363" width="6" customWidth="1"/>
    <col min="15364" max="15364" width="49.54296875" customWidth="1"/>
    <col min="15365" max="15365" width="29.54296875" customWidth="1"/>
    <col min="15366" max="15366" width="28.54296875" customWidth="1"/>
    <col min="15367" max="15367" width="13.54296875" customWidth="1"/>
    <col min="15368" max="15368" width="20.54296875" customWidth="1"/>
    <col min="15369" max="15369" width="47.1796875" customWidth="1"/>
    <col min="15617" max="15617" width="2.54296875" customWidth="1"/>
    <col min="15618" max="15618" width="29.453125" customWidth="1"/>
    <col min="15619" max="15619" width="6" customWidth="1"/>
    <col min="15620" max="15620" width="49.54296875" customWidth="1"/>
    <col min="15621" max="15621" width="29.54296875" customWidth="1"/>
    <col min="15622" max="15622" width="28.54296875" customWidth="1"/>
    <col min="15623" max="15623" width="13.54296875" customWidth="1"/>
    <col min="15624" max="15624" width="20.54296875" customWidth="1"/>
    <col min="15625" max="15625" width="47.1796875" customWidth="1"/>
    <col min="15873" max="15873" width="2.54296875" customWidth="1"/>
    <col min="15874" max="15874" width="29.453125" customWidth="1"/>
    <col min="15875" max="15875" width="6" customWidth="1"/>
    <col min="15876" max="15876" width="49.54296875" customWidth="1"/>
    <col min="15877" max="15877" width="29.54296875" customWidth="1"/>
    <col min="15878" max="15878" width="28.54296875" customWidth="1"/>
    <col min="15879" max="15879" width="13.54296875" customWidth="1"/>
    <col min="15880" max="15880" width="20.54296875" customWidth="1"/>
    <col min="15881" max="15881" width="47.1796875" customWidth="1"/>
    <col min="16129" max="16129" width="2.54296875" customWidth="1"/>
    <col min="16130" max="16130" width="29.453125" customWidth="1"/>
    <col min="16131" max="16131" width="6" customWidth="1"/>
    <col min="16132" max="16132" width="49.54296875" customWidth="1"/>
    <col min="16133" max="16133" width="29.54296875" customWidth="1"/>
    <col min="16134" max="16134" width="28.54296875" customWidth="1"/>
    <col min="16135" max="16135" width="13.54296875" customWidth="1"/>
    <col min="16136" max="16136" width="20.54296875" customWidth="1"/>
    <col min="16137" max="16137" width="47.1796875" customWidth="1"/>
  </cols>
  <sheetData>
    <row r="3" spans="2:8" x14ac:dyDescent="0.35">
      <c r="B3" s="1"/>
      <c r="C3" s="60"/>
      <c r="D3" s="88"/>
      <c r="E3" s="2"/>
      <c r="F3" s="60"/>
      <c r="G3" s="2"/>
      <c r="H3" s="3"/>
    </row>
    <row r="4" spans="2:8" x14ac:dyDescent="0.35">
      <c r="B4" s="4"/>
      <c r="C4" s="61"/>
      <c r="D4" s="89"/>
      <c r="E4" s="5"/>
      <c r="F4" s="61"/>
      <c r="G4" s="5"/>
      <c r="H4" s="6"/>
    </row>
    <row r="5" spans="2:8" x14ac:dyDescent="0.35">
      <c r="B5" s="4"/>
      <c r="C5" s="61"/>
      <c r="D5" s="89"/>
      <c r="E5" s="5"/>
      <c r="F5" s="61"/>
      <c r="G5" s="5"/>
      <c r="H5" s="6"/>
    </row>
    <row r="6" spans="2:8" x14ac:dyDescent="0.35">
      <c r="B6" s="7" t="s">
        <v>0</v>
      </c>
      <c r="C6" s="61"/>
      <c r="D6" s="89"/>
      <c r="E6" s="5"/>
      <c r="F6" s="61"/>
      <c r="G6" s="5"/>
      <c r="H6" s="6"/>
    </row>
    <row r="7" spans="2:8" ht="15.5" x14ac:dyDescent="0.35">
      <c r="B7" s="8" t="s">
        <v>57</v>
      </c>
      <c r="C7" s="62"/>
      <c r="D7" s="89"/>
      <c r="E7" s="5"/>
      <c r="F7" s="61"/>
      <c r="G7" s="5"/>
      <c r="H7" s="6"/>
    </row>
    <row r="8" spans="2:8" ht="18.5" x14ac:dyDescent="0.45">
      <c r="B8" s="9" t="s">
        <v>1</v>
      </c>
      <c r="C8" s="63"/>
      <c r="D8" s="89"/>
      <c r="E8" s="5"/>
      <c r="F8" s="61"/>
      <c r="G8" s="5"/>
      <c r="H8" s="6"/>
    </row>
    <row r="9" spans="2:8" x14ac:dyDescent="0.35">
      <c r="B9" s="10"/>
      <c r="C9" s="61"/>
      <c r="D9" s="89"/>
      <c r="E9" s="5"/>
      <c r="F9" s="61"/>
      <c r="G9" s="5"/>
      <c r="H9" s="6"/>
    </row>
    <row r="10" spans="2:8" x14ac:dyDescent="0.35">
      <c r="B10" s="10" t="s">
        <v>2</v>
      </c>
      <c r="C10" s="61"/>
      <c r="D10" s="89"/>
      <c r="E10" s="5"/>
      <c r="F10" s="61"/>
      <c r="G10" s="5"/>
      <c r="H10" s="6"/>
    </row>
    <row r="11" spans="2:8" x14ac:dyDescent="0.35">
      <c r="B11" s="10" t="s">
        <v>3</v>
      </c>
      <c r="C11" s="61"/>
      <c r="D11" s="89"/>
      <c r="E11" s="5"/>
      <c r="F11" s="61"/>
      <c r="G11" s="5"/>
      <c r="H11" s="6"/>
    </row>
    <row r="12" spans="2:8" x14ac:dyDescent="0.35">
      <c r="B12" s="10" t="s">
        <v>4</v>
      </c>
      <c r="C12" s="61"/>
      <c r="D12" s="89"/>
      <c r="E12" s="5"/>
      <c r="F12" s="61"/>
      <c r="G12" s="5"/>
      <c r="H12" s="6"/>
    </row>
    <row r="13" spans="2:8" x14ac:dyDescent="0.35">
      <c r="B13" s="10" t="s">
        <v>5</v>
      </c>
      <c r="C13" s="61"/>
      <c r="D13" s="89"/>
      <c r="E13" s="5"/>
      <c r="F13" s="61"/>
      <c r="G13" s="5"/>
      <c r="H13" s="6"/>
    </row>
    <row r="14" spans="2:8" x14ac:dyDescent="0.35">
      <c r="B14" s="10" t="s">
        <v>6</v>
      </c>
      <c r="C14" s="61"/>
      <c r="D14" s="89"/>
      <c r="E14" s="5"/>
      <c r="F14" s="61"/>
      <c r="G14" s="5"/>
      <c r="H14" s="6"/>
    </row>
    <row r="15" spans="2:8" x14ac:dyDescent="0.35">
      <c r="B15" s="10"/>
      <c r="C15" s="61"/>
      <c r="D15" s="89"/>
      <c r="E15" s="5"/>
      <c r="F15" s="61"/>
      <c r="G15" s="5"/>
      <c r="H15" s="6"/>
    </row>
    <row r="16" spans="2:8" x14ac:dyDescent="0.35">
      <c r="B16" s="10" t="s">
        <v>7</v>
      </c>
      <c r="C16" s="61"/>
      <c r="D16" s="89"/>
      <c r="E16" s="5"/>
      <c r="F16" s="61"/>
      <c r="G16" s="5"/>
      <c r="H16" s="6"/>
    </row>
    <row r="17" spans="2:8" x14ac:dyDescent="0.35">
      <c r="B17" s="11" t="s">
        <v>8</v>
      </c>
      <c r="C17" s="61"/>
      <c r="D17" s="89"/>
      <c r="E17" s="5"/>
      <c r="F17" s="61"/>
      <c r="G17" s="5"/>
      <c r="H17" s="6"/>
    </row>
    <row r="18" spans="2:8" ht="14.25" customHeight="1" x14ac:dyDescent="0.35">
      <c r="B18" s="12"/>
      <c r="C18" s="64"/>
      <c r="D18" s="90"/>
      <c r="E18" s="13"/>
      <c r="F18" s="64"/>
      <c r="G18" s="13"/>
      <c r="H18" s="14"/>
    </row>
    <row r="19" spans="2:8" x14ac:dyDescent="0.35">
      <c r="B19" s="15"/>
      <c r="C19" s="65"/>
    </row>
    <row r="20" spans="2:8" x14ac:dyDescent="0.35">
      <c r="B20" s="16" t="s">
        <v>9</v>
      </c>
      <c r="C20" s="66"/>
      <c r="D20" s="91"/>
      <c r="E20" s="16"/>
      <c r="F20" s="80"/>
      <c r="G20" s="16"/>
      <c r="H20" s="16"/>
    </row>
    <row r="21" spans="2:8" x14ac:dyDescent="0.35">
      <c r="B21" s="17" t="s">
        <v>10</v>
      </c>
      <c r="C21" s="67"/>
      <c r="D21" s="92"/>
      <c r="E21" s="18">
        <v>23</v>
      </c>
      <c r="F21" s="81"/>
      <c r="G21" s="17"/>
    </row>
    <row r="22" spans="2:8" x14ac:dyDescent="0.35">
      <c r="B22" s="19" t="s">
        <v>11</v>
      </c>
      <c r="C22" s="67"/>
      <c r="D22" s="93" t="s">
        <v>12</v>
      </c>
      <c r="E22" s="20">
        <f ca="1">G36</f>
        <v>1</v>
      </c>
      <c r="F22" s="82"/>
    </row>
    <row r="23" spans="2:8" x14ac:dyDescent="0.35">
      <c r="B23" t="s">
        <v>13</v>
      </c>
      <c r="C23" s="68"/>
      <c r="D23" s="94"/>
      <c r="E23" s="22">
        <f ca="1">E21-E22</f>
        <v>22</v>
      </c>
      <c r="F23" s="83"/>
      <c r="G23" s="21"/>
      <c r="H23" s="21"/>
    </row>
    <row r="24" spans="2:8" s="23" customFormat="1" x14ac:dyDescent="0.35">
      <c r="B24" t="s">
        <v>14</v>
      </c>
      <c r="C24" s="69"/>
      <c r="D24" s="95"/>
      <c r="E24" s="24">
        <f ca="1">G30</f>
        <v>0</v>
      </c>
      <c r="F24" s="84"/>
      <c r="G24" s="23" t="s">
        <v>15</v>
      </c>
      <c r="H24" s="23" t="s">
        <v>15</v>
      </c>
    </row>
    <row r="25" spans="2:8" x14ac:dyDescent="0.35">
      <c r="B25" s="25" t="s">
        <v>12</v>
      </c>
      <c r="C25" s="70"/>
      <c r="D25" s="96"/>
      <c r="E25" s="26" t="s">
        <v>12</v>
      </c>
      <c r="F25" s="85"/>
      <c r="G25" s="17"/>
      <c r="H25" s="17"/>
    </row>
    <row r="26" spans="2:8" x14ac:dyDescent="0.35">
      <c r="B26" s="25"/>
      <c r="C26" s="70"/>
      <c r="D26" s="96"/>
      <c r="E26" s="26"/>
      <c r="F26" s="85" t="s">
        <v>12</v>
      </c>
      <c r="G26" s="17"/>
      <c r="H26" s="17"/>
    </row>
    <row r="27" spans="2:8" x14ac:dyDescent="0.35">
      <c r="B27" s="112" t="s">
        <v>16</v>
      </c>
      <c r="C27" s="112"/>
      <c r="D27" s="112"/>
      <c r="E27" s="112"/>
      <c r="F27" s="112"/>
      <c r="G27" s="112"/>
      <c r="H27" s="112"/>
    </row>
    <row r="28" spans="2:8" x14ac:dyDescent="0.35">
      <c r="B28" s="27"/>
      <c r="C28" s="71"/>
      <c r="D28" s="97" t="s">
        <v>17</v>
      </c>
      <c r="E28" s="28" t="s">
        <v>18</v>
      </c>
      <c r="F28" s="71"/>
      <c r="G28" s="27">
        <f>SUMIF(C$47:C$345,E28,G$47:G$345)</f>
        <v>1</v>
      </c>
      <c r="H28" s="27"/>
    </row>
    <row r="29" spans="2:8" x14ac:dyDescent="0.35">
      <c r="B29" s="27"/>
      <c r="C29" s="72"/>
      <c r="D29" s="98" t="s">
        <v>19</v>
      </c>
      <c r="E29" s="30" t="s">
        <v>20</v>
      </c>
      <c r="F29" s="72"/>
      <c r="G29" s="29">
        <f ca="1">SUMIF(C$47:C$398,E29,G$47:G$298)</f>
        <v>0</v>
      </c>
      <c r="H29" s="29"/>
    </row>
    <row r="30" spans="2:8" x14ac:dyDescent="0.35">
      <c r="B30" s="27"/>
      <c r="C30" s="72"/>
      <c r="D30" s="98" t="s">
        <v>14</v>
      </c>
      <c r="E30" s="30" t="s">
        <v>21</v>
      </c>
      <c r="F30" s="72"/>
      <c r="G30" s="29">
        <f ca="1">SUMIF(C$47:C$433,E30,G$47:G$333)</f>
        <v>0</v>
      </c>
      <c r="H30" s="29"/>
    </row>
    <row r="31" spans="2:8" x14ac:dyDescent="0.35">
      <c r="B31" s="27"/>
      <c r="C31" s="72"/>
      <c r="D31" s="98" t="s">
        <v>22</v>
      </c>
      <c r="E31" s="30" t="s">
        <v>23</v>
      </c>
      <c r="F31" s="72"/>
      <c r="G31" s="29">
        <f ca="1">SUMIF(C$47:C$443,E31,G$47:G$343)</f>
        <v>0</v>
      </c>
      <c r="H31" s="29"/>
    </row>
    <row r="32" spans="2:8" x14ac:dyDescent="0.35">
      <c r="B32" s="27"/>
      <c r="C32" s="72"/>
      <c r="D32" s="98" t="s">
        <v>24</v>
      </c>
      <c r="E32" s="30" t="s">
        <v>25</v>
      </c>
      <c r="F32" s="72"/>
      <c r="G32" s="29">
        <f ca="1">SUMIF(C$47:C$464,E32,G$47:G$364)</f>
        <v>0</v>
      </c>
      <c r="H32" s="29"/>
    </row>
    <row r="33" spans="1:13" x14ac:dyDescent="0.35">
      <c r="B33" s="27"/>
      <c r="C33" s="72"/>
      <c r="D33" s="98" t="s">
        <v>26</v>
      </c>
      <c r="E33" s="30" t="s">
        <v>27</v>
      </c>
      <c r="F33" s="72"/>
      <c r="G33" s="29">
        <f ca="1">SUMIF(C$47:C$407,E33,G$47:G$307)</f>
        <v>0</v>
      </c>
      <c r="H33" s="29"/>
    </row>
    <row r="34" spans="1:13" x14ac:dyDescent="0.35">
      <c r="B34" s="27"/>
      <c r="C34" s="72"/>
      <c r="D34" s="98" t="s">
        <v>28</v>
      </c>
      <c r="E34" s="30" t="s">
        <v>29</v>
      </c>
      <c r="F34" s="72"/>
      <c r="G34" s="29">
        <f ca="1">SUMIF(C$47:C$378,E34,G$47:G$278)</f>
        <v>0</v>
      </c>
      <c r="H34" s="29"/>
    </row>
    <row r="35" spans="1:13" x14ac:dyDescent="0.35">
      <c r="B35" s="5"/>
      <c r="C35" s="61"/>
      <c r="D35" s="89"/>
      <c r="E35" s="31"/>
      <c r="F35" s="61"/>
      <c r="G35" s="20"/>
      <c r="H35" s="5"/>
    </row>
    <row r="36" spans="1:13" ht="15.5" x14ac:dyDescent="0.35">
      <c r="B36" s="32"/>
      <c r="C36" s="73"/>
      <c r="D36" s="99" t="s">
        <v>30</v>
      </c>
      <c r="E36" s="33" t="s">
        <v>31</v>
      </c>
      <c r="F36" s="73"/>
      <c r="G36" s="34">
        <f ca="1">SUM(G28:G34)</f>
        <v>1</v>
      </c>
      <c r="H36" s="32"/>
    </row>
    <row r="37" spans="1:13" x14ac:dyDescent="0.35">
      <c r="B37" s="5"/>
      <c r="C37" s="61"/>
      <c r="D37" s="100"/>
      <c r="E37" s="20"/>
      <c r="F37" s="82"/>
      <c r="G37" s="5"/>
      <c r="H37" s="5"/>
    </row>
    <row r="38" spans="1:13" x14ac:dyDescent="0.35">
      <c r="B38" s="35" t="s">
        <v>32</v>
      </c>
      <c r="C38" s="74" t="s">
        <v>33</v>
      </c>
      <c r="D38" s="101" t="s">
        <v>34</v>
      </c>
      <c r="E38" s="35" t="s">
        <v>35</v>
      </c>
      <c r="F38" s="74"/>
      <c r="G38" s="36" t="s">
        <v>36</v>
      </c>
      <c r="H38" s="37" t="s">
        <v>37</v>
      </c>
    </row>
    <row r="39" spans="1:13" x14ac:dyDescent="0.35">
      <c r="B39" s="58" t="s">
        <v>38</v>
      </c>
      <c r="C39" s="75" t="s">
        <v>18</v>
      </c>
      <c r="D39" s="102" t="s">
        <v>39</v>
      </c>
      <c r="E39" s="38" t="s">
        <v>40</v>
      </c>
      <c r="G39" s="20">
        <f ca="1">SUMIF($E$47:$E$974,"=ESA3582021",$G$47:$G$549)</f>
        <v>0</v>
      </c>
    </row>
    <row r="40" spans="1:13" x14ac:dyDescent="0.35">
      <c r="B40" s="58" t="s">
        <v>41</v>
      </c>
      <c r="C40" s="59" t="s">
        <v>18</v>
      </c>
      <c r="D40" s="103" t="s">
        <v>42</v>
      </c>
      <c r="E40" s="38" t="s">
        <v>43</v>
      </c>
      <c r="G40" s="20">
        <f ca="1">SUMIF($E$47:$E$977,"=BD0002022S",$G$47:$G$552)</f>
        <v>0</v>
      </c>
    </row>
    <row r="41" spans="1:13" x14ac:dyDescent="0.35">
      <c r="B41" s="58" t="s">
        <v>51</v>
      </c>
      <c r="C41" s="59" t="s">
        <v>18</v>
      </c>
      <c r="D41" s="103" t="s">
        <v>44</v>
      </c>
      <c r="E41" s="38" t="s">
        <v>44</v>
      </c>
      <c r="G41" s="20">
        <f ca="1">SUMIF($E$47:$E$977,"=ESA9992024S",$G$47:$G$552)</f>
        <v>0</v>
      </c>
    </row>
    <row r="42" spans="1:13" x14ac:dyDescent="0.35">
      <c r="B42" s="58" t="s">
        <v>53</v>
      </c>
      <c r="C42" s="59" t="s">
        <v>18</v>
      </c>
      <c r="D42" s="103" t="s">
        <v>52</v>
      </c>
      <c r="E42" s="38" t="s">
        <v>52</v>
      </c>
      <c r="G42" s="20">
        <f ca="1">SUMIF($E$47:$E$977,"=ESAPAM2024S",$G$47:$G$552)</f>
        <v>1</v>
      </c>
    </row>
    <row r="43" spans="1:13" x14ac:dyDescent="0.35">
      <c r="B43" s="58" t="s">
        <v>55</v>
      </c>
      <c r="C43" s="59" t="s">
        <v>18</v>
      </c>
      <c r="D43" s="103" t="s">
        <v>45</v>
      </c>
      <c r="E43" s="38" t="s">
        <v>54</v>
      </c>
      <c r="G43" s="20">
        <f ca="1">SUMIF($E$47:$E$977,"=ESA9982024S",$G$47:$G$552)</f>
        <v>0</v>
      </c>
    </row>
    <row r="44" spans="1:13" x14ac:dyDescent="0.35">
      <c r="B44" s="58"/>
      <c r="D44" s="103"/>
      <c r="E44" s="38"/>
      <c r="G44" s="20"/>
    </row>
    <row r="45" spans="1:13" x14ac:dyDescent="0.35">
      <c r="B45" s="17" t="s">
        <v>46</v>
      </c>
      <c r="C45" s="76"/>
      <c r="D45" s="104"/>
      <c r="E45" s="39"/>
      <c r="F45" s="76"/>
      <c r="G45" s="39"/>
      <c r="H45" s="39"/>
    </row>
    <row r="46" spans="1:13" x14ac:dyDescent="0.35">
      <c r="A46" s="17"/>
      <c r="B46" s="35" t="s">
        <v>47</v>
      </c>
      <c r="C46" s="74" t="s">
        <v>33</v>
      </c>
      <c r="D46" s="105" t="s">
        <v>48</v>
      </c>
      <c r="E46" s="40" t="s">
        <v>32</v>
      </c>
      <c r="F46" s="86" t="s">
        <v>49</v>
      </c>
      <c r="G46" s="36" t="s">
        <v>50</v>
      </c>
      <c r="H46" s="37" t="s">
        <v>37</v>
      </c>
    </row>
    <row r="47" spans="1:13" x14ac:dyDescent="0.35">
      <c r="B47" s="41">
        <v>45931</v>
      </c>
      <c r="C47" s="59" t="s">
        <v>18</v>
      </c>
      <c r="D47" s="87" t="s">
        <v>56</v>
      </c>
      <c r="E47" s="58" t="s">
        <v>53</v>
      </c>
      <c r="F47" s="77"/>
      <c r="G47" s="43">
        <v>1</v>
      </c>
      <c r="H47" s="44"/>
      <c r="I47" s="45"/>
      <c r="J47" s="45"/>
      <c r="K47" s="45"/>
      <c r="L47" s="45"/>
      <c r="M47" s="45"/>
    </row>
    <row r="48" spans="1:13" x14ac:dyDescent="0.35">
      <c r="B48" s="41"/>
      <c r="E48" s="58"/>
      <c r="F48" s="77"/>
      <c r="G48" s="43"/>
      <c r="H48" s="44"/>
    </row>
    <row r="49" spans="2:8" x14ac:dyDescent="0.35">
      <c r="B49" s="41"/>
      <c r="E49" s="58"/>
      <c r="F49" s="77"/>
      <c r="G49" s="43"/>
      <c r="H49" s="44"/>
    </row>
    <row r="50" spans="2:8" x14ac:dyDescent="0.35">
      <c r="B50" s="41"/>
      <c r="E50" s="58"/>
      <c r="F50" s="77"/>
      <c r="G50" s="43"/>
      <c r="H50" s="44"/>
    </row>
    <row r="51" spans="2:8" x14ac:dyDescent="0.35">
      <c r="B51" s="41"/>
      <c r="E51" s="58"/>
      <c r="F51" s="77"/>
      <c r="G51" s="43"/>
      <c r="H51" s="44"/>
    </row>
    <row r="52" spans="2:8" x14ac:dyDescent="0.35">
      <c r="B52" s="41"/>
      <c r="E52" s="58"/>
      <c r="F52" s="77"/>
      <c r="G52" s="43"/>
      <c r="H52" s="44"/>
    </row>
    <row r="53" spans="2:8" x14ac:dyDescent="0.35">
      <c r="B53" s="41"/>
      <c r="E53" s="58"/>
      <c r="F53" s="77"/>
      <c r="G53" s="43"/>
      <c r="H53" s="44"/>
    </row>
    <row r="54" spans="2:8" x14ac:dyDescent="0.35">
      <c r="B54" s="41"/>
      <c r="E54" s="58"/>
      <c r="F54" s="77"/>
      <c r="G54" s="43"/>
      <c r="H54" s="44"/>
    </row>
    <row r="55" spans="2:8" x14ac:dyDescent="0.35">
      <c r="B55" s="41"/>
      <c r="E55" s="58"/>
      <c r="F55" s="77"/>
      <c r="G55" s="43"/>
      <c r="H55" s="44"/>
    </row>
    <row r="56" spans="2:8" x14ac:dyDescent="0.35">
      <c r="B56" s="41"/>
      <c r="E56" s="58"/>
      <c r="F56" s="77"/>
      <c r="G56" s="43"/>
      <c r="H56" s="44"/>
    </row>
    <row r="57" spans="2:8" x14ac:dyDescent="0.35">
      <c r="B57" s="41"/>
      <c r="E57" s="58"/>
      <c r="F57" s="77"/>
      <c r="G57" s="43"/>
      <c r="H57" s="44"/>
    </row>
    <row r="58" spans="2:8" x14ac:dyDescent="0.35">
      <c r="B58" s="41"/>
      <c r="E58" s="58"/>
      <c r="F58" s="77"/>
      <c r="G58" s="43"/>
      <c r="H58" s="44"/>
    </row>
    <row r="59" spans="2:8" x14ac:dyDescent="0.35">
      <c r="B59" s="41"/>
      <c r="E59" s="58"/>
      <c r="F59" s="77"/>
      <c r="G59" s="43"/>
      <c r="H59" s="44"/>
    </row>
    <row r="60" spans="2:8" x14ac:dyDescent="0.35">
      <c r="B60" s="41"/>
      <c r="E60" s="58"/>
      <c r="F60" s="77"/>
      <c r="G60" s="43"/>
      <c r="H60" s="44"/>
    </row>
    <row r="61" spans="2:8" x14ac:dyDescent="0.35">
      <c r="B61" s="41"/>
      <c r="E61" s="58"/>
      <c r="F61" s="77"/>
      <c r="G61" s="43"/>
      <c r="H61" s="44"/>
    </row>
    <row r="62" spans="2:8" x14ac:dyDescent="0.35">
      <c r="B62" s="41"/>
      <c r="E62" s="58"/>
      <c r="F62" s="77"/>
      <c r="G62" s="43"/>
      <c r="H62" s="44"/>
    </row>
    <row r="63" spans="2:8" x14ac:dyDescent="0.35">
      <c r="B63" s="41"/>
      <c r="E63" s="58"/>
      <c r="F63" s="77"/>
      <c r="G63" s="43"/>
      <c r="H63" s="44"/>
    </row>
    <row r="64" spans="2:8" x14ac:dyDescent="0.35">
      <c r="B64" s="41"/>
      <c r="E64" s="58"/>
      <c r="F64" s="77"/>
      <c r="G64" s="43"/>
      <c r="H64" s="44"/>
    </row>
    <row r="65" spans="2:8" x14ac:dyDescent="0.35">
      <c r="B65" s="41"/>
      <c r="E65" s="58"/>
      <c r="F65" s="77"/>
      <c r="G65" s="43"/>
      <c r="H65" s="44"/>
    </row>
    <row r="66" spans="2:8" x14ac:dyDescent="0.35">
      <c r="B66" s="41"/>
      <c r="E66" s="58"/>
      <c r="F66" s="77"/>
      <c r="G66" s="43"/>
      <c r="H66" s="44"/>
    </row>
    <row r="67" spans="2:8" x14ac:dyDescent="0.35">
      <c r="B67" s="41"/>
      <c r="E67" s="58"/>
      <c r="F67" s="77"/>
      <c r="G67" s="43"/>
      <c r="H67" s="44"/>
    </row>
    <row r="68" spans="2:8" x14ac:dyDescent="0.35">
      <c r="B68" s="41"/>
      <c r="E68" s="58"/>
      <c r="F68" s="77"/>
      <c r="G68" s="43"/>
      <c r="H68" s="44"/>
    </row>
    <row r="69" spans="2:8" x14ac:dyDescent="0.35">
      <c r="B69" s="41"/>
      <c r="E69" s="58"/>
      <c r="F69" s="77"/>
      <c r="G69" s="43"/>
      <c r="H69" s="44"/>
    </row>
    <row r="70" spans="2:8" x14ac:dyDescent="0.35">
      <c r="B70" s="41"/>
      <c r="E70" s="58"/>
      <c r="F70" s="77"/>
      <c r="G70" s="43"/>
      <c r="H70" s="44"/>
    </row>
    <row r="71" spans="2:8" x14ac:dyDescent="0.35">
      <c r="B71" s="41"/>
      <c r="D71" s="106"/>
      <c r="E71" s="47"/>
      <c r="G71" s="43"/>
      <c r="H71" s="44"/>
    </row>
    <row r="72" spans="2:8" x14ac:dyDescent="0.35">
      <c r="B72" s="41"/>
      <c r="D72" s="106"/>
      <c r="E72" s="47"/>
      <c r="G72" s="43"/>
      <c r="H72" s="44"/>
    </row>
    <row r="73" spans="2:8" x14ac:dyDescent="0.35">
      <c r="B73" s="41"/>
      <c r="D73" s="106"/>
      <c r="E73" s="47"/>
      <c r="G73" s="43"/>
      <c r="H73" s="44"/>
    </row>
    <row r="74" spans="2:8" x14ac:dyDescent="0.35">
      <c r="B74" s="41"/>
      <c r="D74" s="106"/>
      <c r="E74" s="47"/>
      <c r="G74" s="43"/>
      <c r="H74" s="44"/>
    </row>
    <row r="75" spans="2:8" x14ac:dyDescent="0.35">
      <c r="B75" s="41"/>
      <c r="D75" s="106"/>
      <c r="E75" s="47"/>
      <c r="G75" s="43"/>
      <c r="H75" s="44"/>
    </row>
    <row r="76" spans="2:8" x14ac:dyDescent="0.35">
      <c r="B76" s="41"/>
      <c r="D76" s="106"/>
      <c r="E76" s="47"/>
      <c r="G76" s="43"/>
      <c r="H76" s="44"/>
    </row>
    <row r="77" spans="2:8" x14ac:dyDescent="0.35">
      <c r="B77" s="41"/>
      <c r="D77" s="106"/>
      <c r="E77" s="47"/>
      <c r="G77" s="43"/>
      <c r="H77" s="44"/>
    </row>
    <row r="78" spans="2:8" x14ac:dyDescent="0.35">
      <c r="B78" s="41"/>
      <c r="D78" s="106"/>
      <c r="E78" s="47"/>
      <c r="G78" s="43"/>
      <c r="H78" s="44"/>
    </row>
    <row r="79" spans="2:8" x14ac:dyDescent="0.35">
      <c r="B79" s="41"/>
      <c r="D79" s="106"/>
      <c r="E79" s="47"/>
      <c r="G79" s="43"/>
      <c r="H79" s="44"/>
    </row>
    <row r="80" spans="2:8" x14ac:dyDescent="0.35">
      <c r="B80" s="41"/>
      <c r="D80" s="106"/>
      <c r="E80" s="47"/>
      <c r="G80" s="43"/>
      <c r="H80" s="44"/>
    </row>
    <row r="81" spans="2:8" x14ac:dyDescent="0.35">
      <c r="B81" s="41"/>
      <c r="D81" s="106"/>
      <c r="E81" s="47"/>
      <c r="G81" s="43"/>
      <c r="H81" s="44"/>
    </row>
    <row r="82" spans="2:8" x14ac:dyDescent="0.35">
      <c r="B82" s="41"/>
      <c r="D82" s="106"/>
      <c r="E82" s="47"/>
      <c r="G82" s="43"/>
      <c r="H82" s="44"/>
    </row>
    <row r="83" spans="2:8" x14ac:dyDescent="0.35">
      <c r="B83" s="41"/>
      <c r="D83" s="106"/>
      <c r="E83" s="47"/>
      <c r="G83" s="43"/>
      <c r="H83" s="44"/>
    </row>
    <row r="84" spans="2:8" x14ac:dyDescent="0.35">
      <c r="B84" s="41"/>
      <c r="D84" s="106"/>
      <c r="E84" s="47"/>
      <c r="G84" s="43"/>
      <c r="H84" s="44"/>
    </row>
    <row r="85" spans="2:8" x14ac:dyDescent="0.35">
      <c r="B85" s="41"/>
      <c r="D85" s="106"/>
      <c r="E85" s="47"/>
      <c r="G85" s="43"/>
      <c r="H85" s="44"/>
    </row>
    <row r="86" spans="2:8" x14ac:dyDescent="0.35">
      <c r="B86" s="41"/>
      <c r="D86" s="106"/>
      <c r="E86" s="47"/>
      <c r="G86" s="43"/>
      <c r="H86" s="44"/>
    </row>
    <row r="87" spans="2:8" x14ac:dyDescent="0.35">
      <c r="B87" s="41"/>
      <c r="D87" s="106"/>
      <c r="E87" s="47"/>
      <c r="G87" s="43"/>
      <c r="H87" s="44"/>
    </row>
    <row r="88" spans="2:8" x14ac:dyDescent="0.35">
      <c r="B88" s="41"/>
      <c r="D88" s="106"/>
      <c r="E88" s="47"/>
      <c r="G88" s="43"/>
      <c r="H88" s="44"/>
    </row>
    <row r="89" spans="2:8" x14ac:dyDescent="0.35">
      <c r="B89" s="41"/>
      <c r="D89" s="106"/>
      <c r="E89" s="47"/>
      <c r="G89" s="43"/>
      <c r="H89" s="44"/>
    </row>
    <row r="90" spans="2:8" x14ac:dyDescent="0.35">
      <c r="B90" s="41"/>
      <c r="D90" s="106"/>
      <c r="E90" s="47"/>
      <c r="G90" s="43"/>
      <c r="H90" s="44"/>
    </row>
    <row r="91" spans="2:8" x14ac:dyDescent="0.35">
      <c r="B91" s="41"/>
      <c r="D91" s="106"/>
      <c r="E91" s="47"/>
      <c r="G91" s="43"/>
      <c r="H91" s="44"/>
    </row>
    <row r="92" spans="2:8" x14ac:dyDescent="0.35">
      <c r="B92" s="41"/>
      <c r="D92" s="106"/>
      <c r="E92" s="47"/>
      <c r="G92" s="43"/>
      <c r="H92" s="44"/>
    </row>
    <row r="93" spans="2:8" x14ac:dyDescent="0.35">
      <c r="B93" s="41"/>
      <c r="D93" s="106"/>
      <c r="E93" s="48"/>
      <c r="G93" s="43"/>
      <c r="H93" s="44"/>
    </row>
    <row r="94" spans="2:8" x14ac:dyDescent="0.35">
      <c r="B94" s="41"/>
      <c r="D94" s="106"/>
      <c r="E94" s="48"/>
      <c r="G94" s="43"/>
      <c r="H94" s="44"/>
    </row>
    <row r="95" spans="2:8" x14ac:dyDescent="0.35">
      <c r="B95" s="41"/>
      <c r="D95" s="106"/>
      <c r="E95" s="48"/>
      <c r="G95" s="43"/>
      <c r="H95" s="44"/>
    </row>
    <row r="96" spans="2:8" x14ac:dyDescent="0.35">
      <c r="B96" s="41"/>
      <c r="D96" s="106"/>
      <c r="E96" s="48"/>
      <c r="G96" s="43"/>
      <c r="H96" s="44"/>
    </row>
    <row r="97" spans="2:8" x14ac:dyDescent="0.35">
      <c r="B97" s="41"/>
      <c r="D97" s="106"/>
      <c r="E97" s="48"/>
      <c r="G97" s="43"/>
      <c r="H97" s="44"/>
    </row>
    <row r="98" spans="2:8" x14ac:dyDescent="0.35">
      <c r="B98" s="41"/>
      <c r="D98" s="106"/>
      <c r="E98" s="47"/>
      <c r="G98" s="43"/>
      <c r="H98" s="44"/>
    </row>
    <row r="99" spans="2:8" x14ac:dyDescent="0.35">
      <c r="B99" s="41"/>
      <c r="D99" s="106"/>
      <c r="E99" s="47"/>
      <c r="G99" s="43"/>
      <c r="H99" s="44"/>
    </row>
    <row r="100" spans="2:8" x14ac:dyDescent="0.35">
      <c r="B100" s="41"/>
      <c r="D100" s="106"/>
      <c r="E100" s="48"/>
      <c r="G100" s="43"/>
      <c r="H100" s="44"/>
    </row>
    <row r="101" spans="2:8" x14ac:dyDescent="0.35">
      <c r="B101" s="41"/>
      <c r="D101" s="106"/>
      <c r="E101" s="47"/>
      <c r="G101" s="43"/>
      <c r="H101" s="44"/>
    </row>
    <row r="102" spans="2:8" x14ac:dyDescent="0.35">
      <c r="B102" s="41"/>
      <c r="D102" s="106"/>
      <c r="E102" s="47"/>
      <c r="G102" s="43"/>
      <c r="H102" s="44"/>
    </row>
    <row r="103" spans="2:8" x14ac:dyDescent="0.35">
      <c r="B103" s="41"/>
      <c r="D103" s="106"/>
      <c r="E103" s="47"/>
      <c r="G103" s="43"/>
      <c r="H103" s="44"/>
    </row>
    <row r="104" spans="2:8" x14ac:dyDescent="0.35">
      <c r="B104" s="41"/>
      <c r="D104" s="106"/>
      <c r="E104" s="47"/>
      <c r="G104" s="43"/>
      <c r="H104" s="44"/>
    </row>
    <row r="105" spans="2:8" x14ac:dyDescent="0.35">
      <c r="B105" s="41"/>
      <c r="D105" s="106"/>
      <c r="E105" s="47"/>
      <c r="G105" s="43"/>
      <c r="H105" s="44"/>
    </row>
    <row r="106" spans="2:8" x14ac:dyDescent="0.35">
      <c r="B106" s="41"/>
      <c r="D106" s="106"/>
      <c r="E106" s="47"/>
      <c r="G106" s="43"/>
      <c r="H106" s="44"/>
    </row>
    <row r="107" spans="2:8" x14ac:dyDescent="0.35">
      <c r="B107" s="41"/>
      <c r="D107" s="106"/>
      <c r="E107" s="47"/>
      <c r="G107" s="43"/>
      <c r="H107" s="44"/>
    </row>
    <row r="108" spans="2:8" x14ac:dyDescent="0.35">
      <c r="B108" s="41"/>
      <c r="D108" s="106"/>
      <c r="E108" s="47"/>
      <c r="G108" s="43"/>
      <c r="H108" s="44"/>
    </row>
    <row r="109" spans="2:8" x14ac:dyDescent="0.35">
      <c r="B109" s="41"/>
      <c r="D109" s="106"/>
      <c r="E109" s="47"/>
      <c r="G109" s="43"/>
      <c r="H109" s="44"/>
    </row>
    <row r="110" spans="2:8" x14ac:dyDescent="0.35">
      <c r="B110" s="41"/>
      <c r="D110" s="106"/>
      <c r="G110" s="43"/>
      <c r="H110" s="44"/>
    </row>
    <row r="111" spans="2:8" x14ac:dyDescent="0.35">
      <c r="B111" s="41"/>
      <c r="D111" s="106"/>
      <c r="G111" s="43"/>
      <c r="H111" s="44"/>
    </row>
    <row r="112" spans="2:8" x14ac:dyDescent="0.35">
      <c r="B112" s="41"/>
      <c r="D112" s="106"/>
      <c r="G112" s="43"/>
      <c r="H112" s="44"/>
    </row>
    <row r="113" spans="2:8" x14ac:dyDescent="0.35">
      <c r="B113" s="41"/>
      <c r="D113" s="106"/>
      <c r="E113" s="47"/>
      <c r="G113" s="43"/>
      <c r="H113" s="44"/>
    </row>
    <row r="114" spans="2:8" x14ac:dyDescent="0.35">
      <c r="B114" s="41"/>
      <c r="D114" s="106"/>
      <c r="E114" s="47"/>
      <c r="G114" s="43"/>
      <c r="H114" s="44"/>
    </row>
    <row r="115" spans="2:8" x14ac:dyDescent="0.35">
      <c r="B115" s="41"/>
      <c r="D115" s="106"/>
      <c r="E115" s="47"/>
      <c r="G115" s="43"/>
      <c r="H115" s="44"/>
    </row>
    <row r="116" spans="2:8" x14ac:dyDescent="0.35">
      <c r="B116" s="41"/>
      <c r="D116" s="106"/>
      <c r="E116" s="47"/>
      <c r="G116" s="43"/>
      <c r="H116" s="44"/>
    </row>
    <row r="117" spans="2:8" x14ac:dyDescent="0.35">
      <c r="B117" s="41"/>
      <c r="D117" s="106"/>
      <c r="E117" s="47"/>
      <c r="G117" s="43"/>
      <c r="H117" s="44"/>
    </row>
    <row r="118" spans="2:8" x14ac:dyDescent="0.35">
      <c r="B118" s="41"/>
      <c r="D118" s="106"/>
      <c r="E118" s="47"/>
      <c r="G118" s="43"/>
      <c r="H118" s="44"/>
    </row>
    <row r="119" spans="2:8" x14ac:dyDescent="0.35">
      <c r="B119" s="41"/>
      <c r="D119" s="106"/>
      <c r="E119" s="47"/>
      <c r="G119" s="43"/>
      <c r="H119" s="44"/>
    </row>
    <row r="120" spans="2:8" x14ac:dyDescent="0.35">
      <c r="B120" s="41"/>
      <c r="D120" s="106"/>
      <c r="E120" s="47"/>
      <c r="G120" s="43"/>
      <c r="H120" s="44"/>
    </row>
    <row r="121" spans="2:8" x14ac:dyDescent="0.35">
      <c r="B121" s="41"/>
      <c r="D121" s="106"/>
      <c r="E121" s="47"/>
      <c r="G121" s="43"/>
      <c r="H121" s="44"/>
    </row>
    <row r="122" spans="2:8" x14ac:dyDescent="0.35">
      <c r="B122" s="41"/>
      <c r="D122" s="106"/>
      <c r="E122" s="45"/>
      <c r="G122" s="43"/>
      <c r="H122" s="44"/>
    </row>
    <row r="123" spans="2:8" x14ac:dyDescent="0.35">
      <c r="B123" s="41"/>
      <c r="D123" s="106"/>
      <c r="G123" s="43"/>
      <c r="H123" s="44"/>
    </row>
    <row r="124" spans="2:8" x14ac:dyDescent="0.35">
      <c r="B124" s="41"/>
      <c r="D124" s="106"/>
      <c r="E124" s="47"/>
      <c r="G124" s="43"/>
      <c r="H124" s="44"/>
    </row>
    <row r="125" spans="2:8" x14ac:dyDescent="0.35">
      <c r="B125" s="41"/>
      <c r="D125" s="106"/>
      <c r="E125" s="47"/>
      <c r="G125" s="43"/>
      <c r="H125" s="44"/>
    </row>
    <row r="126" spans="2:8" x14ac:dyDescent="0.35">
      <c r="B126" s="41"/>
      <c r="D126" s="106"/>
      <c r="E126" s="47"/>
      <c r="G126" s="43"/>
      <c r="H126" s="44"/>
    </row>
    <row r="127" spans="2:8" x14ac:dyDescent="0.35">
      <c r="B127" s="41"/>
      <c r="D127" s="106"/>
      <c r="E127" s="47"/>
      <c r="G127" s="43"/>
      <c r="H127" s="44"/>
    </row>
    <row r="128" spans="2:8" x14ac:dyDescent="0.35">
      <c r="B128" s="41"/>
      <c r="D128" s="106"/>
      <c r="E128" s="47"/>
      <c r="G128" s="43"/>
      <c r="H128" s="44"/>
    </row>
    <row r="129" spans="2:8" x14ac:dyDescent="0.35">
      <c r="B129" s="41"/>
      <c r="D129" s="106"/>
      <c r="E129" s="47"/>
      <c r="G129" s="43"/>
      <c r="H129" s="44"/>
    </row>
    <row r="130" spans="2:8" x14ac:dyDescent="0.35">
      <c r="B130" s="41"/>
      <c r="D130" s="106"/>
      <c r="E130" s="47"/>
      <c r="G130" s="43"/>
      <c r="H130" s="44"/>
    </row>
    <row r="131" spans="2:8" x14ac:dyDescent="0.35">
      <c r="B131" s="41"/>
      <c r="D131" s="106"/>
      <c r="E131" s="47"/>
      <c r="G131" s="43"/>
      <c r="H131" s="44"/>
    </row>
    <row r="132" spans="2:8" x14ac:dyDescent="0.35">
      <c r="B132" s="41"/>
      <c r="D132" s="106"/>
      <c r="E132" s="47"/>
      <c r="G132" s="43"/>
      <c r="H132" s="44"/>
    </row>
    <row r="133" spans="2:8" x14ac:dyDescent="0.35">
      <c r="B133" s="41"/>
      <c r="D133" s="106"/>
      <c r="E133" s="47"/>
      <c r="G133" s="43"/>
      <c r="H133" s="44"/>
    </row>
    <row r="134" spans="2:8" x14ac:dyDescent="0.35">
      <c r="B134" s="41"/>
      <c r="D134" s="106"/>
      <c r="E134" s="47"/>
      <c r="G134" s="43"/>
      <c r="H134" s="44"/>
    </row>
    <row r="135" spans="2:8" x14ac:dyDescent="0.35">
      <c r="B135" s="41"/>
      <c r="D135" s="106"/>
      <c r="E135" s="47"/>
      <c r="G135" s="43"/>
      <c r="H135" s="44"/>
    </row>
    <row r="136" spans="2:8" x14ac:dyDescent="0.35">
      <c r="B136" s="41"/>
      <c r="D136" s="106"/>
      <c r="E136" s="47"/>
      <c r="G136" s="43"/>
      <c r="H136" s="44"/>
    </row>
    <row r="137" spans="2:8" x14ac:dyDescent="0.35">
      <c r="B137" s="41"/>
      <c r="D137" s="106"/>
      <c r="E137" s="47"/>
      <c r="G137" s="43"/>
      <c r="H137" s="44"/>
    </row>
    <row r="138" spans="2:8" x14ac:dyDescent="0.35">
      <c r="B138" s="41"/>
      <c r="D138" s="106"/>
      <c r="E138" s="47"/>
      <c r="G138" s="43"/>
      <c r="H138" s="44"/>
    </row>
    <row r="139" spans="2:8" x14ac:dyDescent="0.35">
      <c r="B139" s="41"/>
      <c r="D139" s="106"/>
      <c r="E139" s="47"/>
      <c r="G139" s="43"/>
      <c r="H139" s="44"/>
    </row>
    <row r="140" spans="2:8" x14ac:dyDescent="0.35">
      <c r="B140" s="41"/>
      <c r="D140" s="106"/>
      <c r="E140" s="47"/>
      <c r="G140" s="43"/>
      <c r="H140" s="44"/>
    </row>
    <row r="141" spans="2:8" x14ac:dyDescent="0.35">
      <c r="B141" s="41"/>
      <c r="D141" s="106"/>
      <c r="E141" s="47"/>
      <c r="G141" s="43"/>
      <c r="H141" s="44"/>
    </row>
    <row r="142" spans="2:8" x14ac:dyDescent="0.35">
      <c r="B142" s="41"/>
      <c r="D142" s="106"/>
      <c r="E142" s="47"/>
      <c r="G142" s="43"/>
      <c r="H142" s="44"/>
    </row>
    <row r="143" spans="2:8" x14ac:dyDescent="0.35">
      <c r="B143" s="41"/>
      <c r="D143" s="106"/>
      <c r="E143" s="47"/>
      <c r="G143" s="43"/>
      <c r="H143" s="44"/>
    </row>
    <row r="144" spans="2:8" x14ac:dyDescent="0.35">
      <c r="B144" s="41"/>
      <c r="D144" s="108"/>
      <c r="E144" s="47"/>
      <c r="G144" s="43"/>
      <c r="H144" s="44"/>
    </row>
    <row r="145" spans="2:8" x14ac:dyDescent="0.35">
      <c r="B145" s="41"/>
      <c r="D145" s="108"/>
      <c r="E145" s="47"/>
      <c r="G145" s="43"/>
      <c r="H145" s="44"/>
    </row>
    <row r="146" spans="2:8" x14ac:dyDescent="0.35">
      <c r="B146" s="41"/>
      <c r="D146" s="108"/>
      <c r="E146" s="47"/>
      <c r="G146" s="43"/>
      <c r="H146" s="44"/>
    </row>
    <row r="147" spans="2:8" x14ac:dyDescent="0.35">
      <c r="B147" s="41"/>
      <c r="D147" s="108"/>
      <c r="E147" s="47"/>
      <c r="G147" s="43"/>
      <c r="H147" s="44"/>
    </row>
    <row r="148" spans="2:8" x14ac:dyDescent="0.35">
      <c r="B148" s="41"/>
      <c r="D148" s="108"/>
      <c r="E148" s="47"/>
      <c r="G148" s="43"/>
      <c r="H148" s="44"/>
    </row>
    <row r="149" spans="2:8" x14ac:dyDescent="0.35">
      <c r="B149" s="41"/>
      <c r="D149" s="108"/>
      <c r="E149" s="47"/>
      <c r="G149" s="43"/>
      <c r="H149" s="44"/>
    </row>
    <row r="150" spans="2:8" x14ac:dyDescent="0.35">
      <c r="B150" s="41"/>
      <c r="D150" s="108"/>
      <c r="E150" s="47"/>
      <c r="G150" s="43"/>
      <c r="H150" s="44"/>
    </row>
    <row r="151" spans="2:8" x14ac:dyDescent="0.35">
      <c r="B151" s="41"/>
      <c r="D151" s="108"/>
      <c r="E151" s="47"/>
      <c r="G151" s="43"/>
      <c r="H151" s="44"/>
    </row>
    <row r="152" spans="2:8" x14ac:dyDescent="0.35">
      <c r="B152" s="41"/>
      <c r="D152" s="108"/>
      <c r="E152" s="47"/>
      <c r="G152" s="43"/>
      <c r="H152" s="44"/>
    </row>
    <row r="153" spans="2:8" x14ac:dyDescent="0.35">
      <c r="B153" s="41"/>
      <c r="D153" s="108"/>
      <c r="E153" s="47"/>
      <c r="G153" s="43"/>
      <c r="H153" s="44"/>
    </row>
    <row r="154" spans="2:8" x14ac:dyDescent="0.35">
      <c r="B154" s="41"/>
      <c r="D154" s="108"/>
      <c r="E154" s="47"/>
      <c r="G154" s="43"/>
      <c r="H154" s="44"/>
    </row>
    <row r="155" spans="2:8" x14ac:dyDescent="0.35">
      <c r="B155" s="41"/>
      <c r="D155" s="108"/>
      <c r="E155" s="47"/>
      <c r="G155" s="43"/>
      <c r="H155" s="44"/>
    </row>
    <row r="156" spans="2:8" x14ac:dyDescent="0.35">
      <c r="B156" s="41"/>
      <c r="D156" s="108"/>
      <c r="E156" s="47"/>
      <c r="G156" s="43"/>
      <c r="H156" s="44"/>
    </row>
    <row r="157" spans="2:8" x14ac:dyDescent="0.35">
      <c r="B157" s="41"/>
      <c r="D157" s="108"/>
      <c r="E157" s="47"/>
      <c r="G157" s="43"/>
      <c r="H157" s="44"/>
    </row>
    <row r="158" spans="2:8" x14ac:dyDescent="0.35">
      <c r="B158" s="41"/>
      <c r="D158" s="108"/>
      <c r="E158" s="47"/>
      <c r="G158" s="43"/>
      <c r="H158" s="44"/>
    </row>
    <row r="159" spans="2:8" x14ac:dyDescent="0.35">
      <c r="B159" s="41"/>
      <c r="D159" s="108"/>
      <c r="E159" s="47"/>
      <c r="G159" s="43"/>
      <c r="H159" s="44"/>
    </row>
    <row r="160" spans="2:8" x14ac:dyDescent="0.35">
      <c r="B160" s="41"/>
      <c r="D160" s="108"/>
      <c r="E160" s="47"/>
      <c r="G160" s="43"/>
      <c r="H160" s="44"/>
    </row>
    <row r="161" spans="2:8" x14ac:dyDescent="0.35">
      <c r="B161" s="41"/>
      <c r="D161" s="108"/>
      <c r="E161" s="47"/>
      <c r="G161" s="43"/>
      <c r="H161" s="44"/>
    </row>
    <row r="162" spans="2:8" x14ac:dyDescent="0.35">
      <c r="B162" s="41"/>
      <c r="D162" s="108"/>
      <c r="E162" s="45"/>
      <c r="G162" s="43"/>
      <c r="H162" s="44"/>
    </row>
    <row r="163" spans="2:8" x14ac:dyDescent="0.35">
      <c r="B163" s="41"/>
      <c r="D163" s="108"/>
      <c r="E163" s="47"/>
      <c r="G163" s="43"/>
      <c r="H163" s="44"/>
    </row>
    <row r="164" spans="2:8" x14ac:dyDescent="0.35">
      <c r="B164" s="41"/>
      <c r="D164" s="108"/>
      <c r="E164" s="47"/>
      <c r="G164" s="43"/>
      <c r="H164" s="44"/>
    </row>
    <row r="165" spans="2:8" x14ac:dyDescent="0.35">
      <c r="B165" s="41"/>
      <c r="D165" s="108"/>
      <c r="E165" s="47"/>
      <c r="G165" s="43"/>
      <c r="H165" s="44"/>
    </row>
    <row r="166" spans="2:8" x14ac:dyDescent="0.35">
      <c r="B166" s="41"/>
      <c r="D166" s="108"/>
      <c r="E166" s="47"/>
      <c r="G166" s="43"/>
      <c r="H166" s="44"/>
    </row>
    <row r="167" spans="2:8" x14ac:dyDescent="0.35">
      <c r="B167" s="41"/>
      <c r="D167" s="108"/>
      <c r="E167" s="47"/>
      <c r="G167" s="43"/>
      <c r="H167" s="44"/>
    </row>
    <row r="168" spans="2:8" x14ac:dyDescent="0.35">
      <c r="B168" s="41"/>
      <c r="D168" s="108"/>
      <c r="E168" s="47"/>
      <c r="G168" s="43"/>
      <c r="H168" s="44"/>
    </row>
    <row r="169" spans="2:8" x14ac:dyDescent="0.35">
      <c r="B169" s="41"/>
      <c r="D169" s="108"/>
      <c r="E169" s="47"/>
      <c r="G169" s="43"/>
      <c r="H169" s="44"/>
    </row>
    <row r="170" spans="2:8" x14ac:dyDescent="0.35">
      <c r="B170" s="41"/>
      <c r="D170" s="108"/>
      <c r="E170" s="47"/>
      <c r="G170" s="43"/>
      <c r="H170" s="44"/>
    </row>
    <row r="171" spans="2:8" x14ac:dyDescent="0.35">
      <c r="B171" s="41"/>
      <c r="D171" s="108"/>
      <c r="E171" s="47"/>
      <c r="G171" s="43"/>
      <c r="H171" s="44"/>
    </row>
    <row r="172" spans="2:8" x14ac:dyDescent="0.35">
      <c r="B172" s="41"/>
      <c r="D172" s="108"/>
      <c r="E172" s="47"/>
      <c r="G172" s="43"/>
      <c r="H172" s="44"/>
    </row>
    <row r="173" spans="2:8" x14ac:dyDescent="0.35">
      <c r="B173" s="41"/>
      <c r="D173" s="108"/>
      <c r="E173" s="47"/>
      <c r="G173" s="43"/>
      <c r="H173" s="44"/>
    </row>
    <row r="174" spans="2:8" x14ac:dyDescent="0.35">
      <c r="B174" s="41"/>
      <c r="D174" s="108"/>
      <c r="E174" s="47"/>
      <c r="G174" s="43"/>
      <c r="H174" s="44"/>
    </row>
    <row r="175" spans="2:8" x14ac:dyDescent="0.35">
      <c r="B175" s="41"/>
      <c r="D175" s="108"/>
      <c r="E175" s="47"/>
      <c r="G175" s="43"/>
      <c r="H175" s="44"/>
    </row>
    <row r="176" spans="2:8" x14ac:dyDescent="0.35">
      <c r="B176" s="41"/>
      <c r="D176" s="108"/>
      <c r="E176" s="47"/>
      <c r="G176" s="43"/>
      <c r="H176" s="44"/>
    </row>
    <row r="177" spans="2:8" x14ac:dyDescent="0.35">
      <c r="B177" s="41"/>
      <c r="D177" s="108"/>
      <c r="E177" s="47"/>
      <c r="G177" s="43"/>
      <c r="H177" s="44"/>
    </row>
    <row r="178" spans="2:8" x14ac:dyDescent="0.35">
      <c r="B178" s="41"/>
      <c r="D178" s="108"/>
      <c r="E178" s="47"/>
      <c r="G178" s="43"/>
      <c r="H178" s="44"/>
    </row>
    <row r="179" spans="2:8" x14ac:dyDescent="0.35">
      <c r="B179" s="41"/>
      <c r="D179" s="108"/>
      <c r="E179" s="47"/>
      <c r="G179" s="43"/>
      <c r="H179" s="44"/>
    </row>
    <row r="180" spans="2:8" x14ac:dyDescent="0.35">
      <c r="B180" s="41"/>
      <c r="D180" s="108"/>
      <c r="E180" s="47"/>
      <c r="G180" s="43"/>
      <c r="H180" s="44"/>
    </row>
    <row r="181" spans="2:8" x14ac:dyDescent="0.35">
      <c r="B181" s="41"/>
      <c r="D181" s="108"/>
      <c r="E181" s="47"/>
      <c r="G181" s="43"/>
      <c r="H181" s="44"/>
    </row>
    <row r="182" spans="2:8" x14ac:dyDescent="0.35">
      <c r="B182" s="41"/>
      <c r="D182" s="108"/>
      <c r="E182" s="47"/>
      <c r="G182" s="43"/>
      <c r="H182" s="44"/>
    </row>
    <row r="183" spans="2:8" x14ac:dyDescent="0.35">
      <c r="B183" s="41"/>
      <c r="D183" s="108"/>
      <c r="E183" s="47"/>
      <c r="G183" s="43"/>
      <c r="H183" s="44"/>
    </row>
    <row r="184" spans="2:8" x14ac:dyDescent="0.35">
      <c r="B184" s="41"/>
      <c r="D184" s="108"/>
      <c r="E184" s="47"/>
      <c r="G184" s="43"/>
      <c r="H184" s="44"/>
    </row>
    <row r="185" spans="2:8" x14ac:dyDescent="0.35">
      <c r="B185" s="41"/>
      <c r="D185" s="108"/>
      <c r="E185" s="47"/>
      <c r="G185" s="43"/>
      <c r="H185" s="44"/>
    </row>
    <row r="186" spans="2:8" x14ac:dyDescent="0.35">
      <c r="B186" s="41"/>
      <c r="D186" s="108"/>
      <c r="E186" s="47"/>
      <c r="G186" s="43"/>
      <c r="H186" s="44"/>
    </row>
    <row r="187" spans="2:8" x14ac:dyDescent="0.35">
      <c r="B187" s="41"/>
      <c r="D187" s="108"/>
      <c r="E187" s="47"/>
      <c r="G187" s="43"/>
      <c r="H187" s="44"/>
    </row>
    <row r="188" spans="2:8" x14ac:dyDescent="0.35">
      <c r="B188" s="41"/>
      <c r="D188" s="108"/>
      <c r="E188" s="47"/>
      <c r="G188" s="43"/>
      <c r="H188" s="44"/>
    </row>
    <row r="189" spans="2:8" x14ac:dyDescent="0.35">
      <c r="B189" s="41"/>
      <c r="D189" s="108"/>
      <c r="E189" s="47"/>
      <c r="G189" s="43"/>
      <c r="H189" s="44"/>
    </row>
    <row r="190" spans="2:8" x14ac:dyDescent="0.35">
      <c r="B190" s="41"/>
      <c r="D190" s="108"/>
      <c r="E190" s="47"/>
      <c r="G190" s="43"/>
      <c r="H190" s="44"/>
    </row>
    <row r="191" spans="2:8" x14ac:dyDescent="0.35">
      <c r="B191" s="41"/>
      <c r="D191" s="108"/>
      <c r="E191" s="47"/>
      <c r="G191" s="43"/>
      <c r="H191" s="44"/>
    </row>
    <row r="192" spans="2:8" x14ac:dyDescent="0.35">
      <c r="B192" s="41"/>
      <c r="D192" s="108"/>
      <c r="E192" s="47"/>
      <c r="G192" s="43"/>
      <c r="H192" s="44"/>
    </row>
    <row r="193" spans="2:8" x14ac:dyDescent="0.35">
      <c r="B193" s="41"/>
      <c r="D193" s="108"/>
      <c r="E193" s="47"/>
      <c r="G193" s="43"/>
      <c r="H193" s="44"/>
    </row>
    <row r="194" spans="2:8" x14ac:dyDescent="0.35">
      <c r="B194" s="41"/>
      <c r="D194" s="108"/>
      <c r="E194" s="47"/>
      <c r="G194" s="43"/>
      <c r="H194" s="44"/>
    </row>
    <row r="195" spans="2:8" x14ac:dyDescent="0.35">
      <c r="B195" s="41"/>
      <c r="D195" s="108"/>
      <c r="E195" s="47"/>
      <c r="G195" s="43"/>
      <c r="H195" s="44"/>
    </row>
    <row r="196" spans="2:8" x14ac:dyDescent="0.35">
      <c r="B196" s="41"/>
      <c r="D196" s="108"/>
      <c r="E196" s="47"/>
      <c r="G196" s="43"/>
      <c r="H196" s="44"/>
    </row>
    <row r="197" spans="2:8" x14ac:dyDescent="0.35">
      <c r="B197" s="41"/>
      <c r="D197" s="108"/>
      <c r="E197" s="47"/>
      <c r="G197" s="43"/>
      <c r="H197" s="44"/>
    </row>
    <row r="198" spans="2:8" x14ac:dyDescent="0.35">
      <c r="B198" s="41"/>
      <c r="D198" s="108"/>
      <c r="E198" s="47"/>
      <c r="G198" s="43"/>
      <c r="H198" s="44"/>
    </row>
    <row r="199" spans="2:8" x14ac:dyDescent="0.35">
      <c r="B199" s="41"/>
      <c r="D199" s="108"/>
      <c r="E199" s="47"/>
      <c r="G199" s="43"/>
      <c r="H199" s="44"/>
    </row>
    <row r="200" spans="2:8" x14ac:dyDescent="0.35">
      <c r="B200" s="41"/>
      <c r="D200" s="108"/>
      <c r="E200" s="47"/>
      <c r="G200" s="43"/>
      <c r="H200" s="44"/>
    </row>
    <row r="201" spans="2:8" x14ac:dyDescent="0.35">
      <c r="B201" s="41"/>
      <c r="D201" s="106"/>
      <c r="E201" s="47"/>
      <c r="G201" s="43"/>
      <c r="H201" s="44"/>
    </row>
    <row r="202" spans="2:8" x14ac:dyDescent="0.35">
      <c r="B202" s="41"/>
      <c r="D202" s="106"/>
      <c r="E202" s="47"/>
      <c r="G202" s="43"/>
      <c r="H202" s="44"/>
    </row>
    <row r="203" spans="2:8" x14ac:dyDescent="0.35">
      <c r="B203" s="41"/>
      <c r="D203" s="106"/>
      <c r="E203" s="47"/>
      <c r="G203" s="43"/>
      <c r="H203" s="44"/>
    </row>
    <row r="204" spans="2:8" x14ac:dyDescent="0.35">
      <c r="B204" s="41"/>
      <c r="D204" s="106"/>
      <c r="E204" s="47"/>
      <c r="G204" s="43"/>
      <c r="H204" s="44"/>
    </row>
    <row r="205" spans="2:8" x14ac:dyDescent="0.35">
      <c r="B205" s="41"/>
      <c r="D205" s="106"/>
      <c r="E205" s="47"/>
      <c r="G205" s="43"/>
      <c r="H205" s="44"/>
    </row>
    <row r="206" spans="2:8" x14ac:dyDescent="0.35">
      <c r="B206" s="41"/>
      <c r="D206" s="106"/>
      <c r="E206" s="47"/>
      <c r="G206" s="43"/>
      <c r="H206" s="44"/>
    </row>
    <row r="207" spans="2:8" x14ac:dyDescent="0.35">
      <c r="B207" s="41"/>
      <c r="D207" s="106"/>
      <c r="E207" s="47"/>
      <c r="G207" s="43"/>
      <c r="H207" s="44"/>
    </row>
    <row r="208" spans="2:8" x14ac:dyDescent="0.35">
      <c r="B208" s="41"/>
      <c r="D208" s="106"/>
      <c r="E208" s="47"/>
      <c r="G208" s="43"/>
      <c r="H208" s="44"/>
    </row>
    <row r="209" spans="2:8" x14ac:dyDescent="0.35">
      <c r="B209" s="41"/>
      <c r="D209" s="106"/>
      <c r="E209" s="47"/>
      <c r="G209" s="43"/>
      <c r="H209" s="44"/>
    </row>
    <row r="210" spans="2:8" x14ac:dyDescent="0.35">
      <c r="B210" s="41"/>
      <c r="D210" s="106"/>
      <c r="E210" s="47"/>
      <c r="G210" s="43"/>
      <c r="H210" s="44"/>
    </row>
    <row r="211" spans="2:8" x14ac:dyDescent="0.35">
      <c r="B211" s="41"/>
      <c r="D211" s="106"/>
      <c r="E211" s="47"/>
      <c r="G211" s="43"/>
      <c r="H211" s="44"/>
    </row>
    <row r="212" spans="2:8" x14ac:dyDescent="0.35">
      <c r="B212" s="41"/>
      <c r="D212" s="106"/>
      <c r="E212" s="47"/>
      <c r="G212" s="43"/>
      <c r="H212" s="44"/>
    </row>
    <row r="213" spans="2:8" x14ac:dyDescent="0.35">
      <c r="B213" s="41"/>
      <c r="D213" s="106"/>
      <c r="E213" s="47"/>
      <c r="G213" s="43"/>
      <c r="H213" s="44"/>
    </row>
    <row r="214" spans="2:8" x14ac:dyDescent="0.35">
      <c r="B214" s="41"/>
      <c r="D214" s="106"/>
      <c r="E214" s="47"/>
      <c r="G214" s="43"/>
      <c r="H214" s="44"/>
    </row>
    <row r="215" spans="2:8" x14ac:dyDescent="0.35">
      <c r="B215" s="41"/>
      <c r="D215" s="106"/>
      <c r="E215" s="47"/>
      <c r="G215" s="43"/>
      <c r="H215" s="44"/>
    </row>
    <row r="216" spans="2:8" x14ac:dyDescent="0.35">
      <c r="B216" s="41"/>
      <c r="D216" s="106"/>
      <c r="E216" s="47"/>
      <c r="G216" s="43"/>
      <c r="H216" s="44"/>
    </row>
    <row r="217" spans="2:8" x14ac:dyDescent="0.35">
      <c r="B217" s="41"/>
      <c r="D217" s="106"/>
      <c r="E217" s="47"/>
      <c r="G217" s="43"/>
      <c r="H217" s="44"/>
    </row>
    <row r="218" spans="2:8" x14ac:dyDescent="0.35">
      <c r="B218" s="41"/>
      <c r="D218" s="106"/>
      <c r="E218" s="47"/>
      <c r="G218" s="43"/>
      <c r="H218" s="44"/>
    </row>
    <row r="219" spans="2:8" x14ac:dyDescent="0.35">
      <c r="B219" s="41"/>
      <c r="D219" s="106"/>
      <c r="E219" s="47"/>
      <c r="G219" s="43"/>
      <c r="H219" s="44"/>
    </row>
    <row r="220" spans="2:8" x14ac:dyDescent="0.35">
      <c r="B220" s="41"/>
      <c r="D220" s="106"/>
      <c r="E220" s="47"/>
      <c r="G220" s="43"/>
      <c r="H220" s="44"/>
    </row>
    <row r="221" spans="2:8" x14ac:dyDescent="0.35">
      <c r="B221" s="41"/>
      <c r="D221" s="106"/>
      <c r="E221" s="47"/>
      <c r="G221" s="43"/>
      <c r="H221" s="44"/>
    </row>
    <row r="222" spans="2:8" x14ac:dyDescent="0.35">
      <c r="B222" s="41"/>
      <c r="D222" s="106"/>
      <c r="E222" s="47"/>
      <c r="G222" s="43"/>
      <c r="H222" s="44"/>
    </row>
    <row r="223" spans="2:8" x14ac:dyDescent="0.35">
      <c r="B223" s="41"/>
      <c r="D223" s="106"/>
      <c r="E223" s="47"/>
      <c r="G223" s="43"/>
      <c r="H223" s="44"/>
    </row>
    <row r="224" spans="2:8" x14ac:dyDescent="0.35">
      <c r="B224" s="41"/>
      <c r="D224" s="106"/>
      <c r="E224" s="47"/>
      <c r="G224" s="43"/>
      <c r="H224" s="44"/>
    </row>
    <row r="225" spans="2:10" x14ac:dyDescent="0.35">
      <c r="B225" s="41"/>
      <c r="D225" s="109"/>
      <c r="E225" s="47"/>
      <c r="G225" s="43"/>
      <c r="H225" s="44"/>
    </row>
    <row r="226" spans="2:10" x14ac:dyDescent="0.35">
      <c r="B226" s="41"/>
      <c r="D226" s="106"/>
      <c r="E226" s="47"/>
      <c r="G226" s="43"/>
      <c r="H226" s="44"/>
    </row>
    <row r="227" spans="2:10" x14ac:dyDescent="0.35">
      <c r="B227" s="41"/>
      <c r="D227" s="106"/>
      <c r="E227" s="47"/>
      <c r="G227" s="43"/>
      <c r="H227" s="44"/>
    </row>
    <row r="228" spans="2:10" x14ac:dyDescent="0.35">
      <c r="B228" s="41"/>
      <c r="D228" s="106"/>
      <c r="E228" s="38"/>
      <c r="G228" s="43"/>
      <c r="H228" s="44"/>
    </row>
    <row r="229" spans="2:10" x14ac:dyDescent="0.35">
      <c r="B229" s="41"/>
      <c r="D229" s="106"/>
      <c r="E229" s="38"/>
      <c r="G229" s="43"/>
      <c r="H229" s="44"/>
    </row>
    <row r="230" spans="2:10" x14ac:dyDescent="0.35">
      <c r="B230" s="41"/>
      <c r="D230" s="106"/>
      <c r="E230" s="47"/>
      <c r="G230" s="43"/>
      <c r="H230" s="44"/>
    </row>
    <row r="231" spans="2:10" x14ac:dyDescent="0.35">
      <c r="B231" s="41"/>
      <c r="D231" s="106"/>
      <c r="E231" s="47"/>
      <c r="G231" s="43"/>
      <c r="H231" s="44"/>
    </row>
    <row r="232" spans="2:10" x14ac:dyDescent="0.35">
      <c r="B232" s="41"/>
      <c r="D232" s="106"/>
      <c r="E232" s="47"/>
      <c r="G232" s="43"/>
      <c r="H232" s="44"/>
    </row>
    <row r="233" spans="2:10" x14ac:dyDescent="0.35">
      <c r="B233" s="41"/>
      <c r="D233" s="106"/>
      <c r="E233" s="47"/>
      <c r="G233" s="43"/>
      <c r="H233" s="44"/>
    </row>
    <row r="234" spans="2:10" x14ac:dyDescent="0.35">
      <c r="B234" s="41"/>
      <c r="D234" s="106"/>
      <c r="E234" s="47"/>
      <c r="G234" s="43"/>
      <c r="H234" s="44"/>
    </row>
    <row r="235" spans="2:10" x14ac:dyDescent="0.35">
      <c r="B235" s="41"/>
      <c r="D235" s="106"/>
      <c r="E235" s="47"/>
      <c r="G235" s="43"/>
      <c r="H235" s="44"/>
    </row>
    <row r="236" spans="2:10" x14ac:dyDescent="0.35">
      <c r="B236" s="41"/>
      <c r="D236" s="106"/>
      <c r="E236" s="47"/>
      <c r="G236" s="43"/>
      <c r="H236" s="44"/>
    </row>
    <row r="237" spans="2:10" x14ac:dyDescent="0.35">
      <c r="B237" s="41"/>
      <c r="D237" s="106"/>
      <c r="E237" s="47"/>
      <c r="G237" s="43"/>
      <c r="H237" s="44"/>
    </row>
    <row r="238" spans="2:10" x14ac:dyDescent="0.35">
      <c r="B238" s="41"/>
      <c r="D238" s="106"/>
      <c r="E238" s="47"/>
      <c r="G238" s="43"/>
      <c r="H238" s="44"/>
    </row>
    <row r="239" spans="2:10" x14ac:dyDescent="0.35">
      <c r="B239" s="41"/>
      <c r="D239" s="106"/>
      <c r="E239" s="47"/>
      <c r="G239" s="43"/>
      <c r="H239" s="44"/>
    </row>
    <row r="240" spans="2:10" x14ac:dyDescent="0.35">
      <c r="B240" s="41"/>
      <c r="D240" s="106"/>
      <c r="E240" s="47"/>
      <c r="G240" s="43"/>
      <c r="H240" s="44"/>
      <c r="I240" s="49"/>
      <c r="J240" s="50"/>
    </row>
    <row r="241" spans="2:18" x14ac:dyDescent="0.35">
      <c r="B241" s="41"/>
      <c r="D241" s="106"/>
      <c r="E241" s="47"/>
      <c r="G241" s="43"/>
      <c r="H241" s="44"/>
    </row>
    <row r="242" spans="2:18" x14ac:dyDescent="0.35">
      <c r="B242" s="41"/>
      <c r="D242" s="106"/>
      <c r="E242" s="38"/>
      <c r="G242" s="43"/>
      <c r="H242" s="44"/>
      <c r="I242" s="45"/>
      <c r="J242" s="47"/>
    </row>
    <row r="243" spans="2:18" x14ac:dyDescent="0.35">
      <c r="B243" s="41"/>
      <c r="D243" s="106"/>
      <c r="E243" s="38"/>
      <c r="G243" s="43"/>
      <c r="H243" s="44"/>
    </row>
    <row r="244" spans="2:18" x14ac:dyDescent="0.35">
      <c r="B244" s="41"/>
      <c r="D244" s="106"/>
      <c r="E244" s="38"/>
      <c r="G244" s="43"/>
      <c r="H244" s="44"/>
    </row>
    <row r="245" spans="2:18" x14ac:dyDescent="0.35">
      <c r="B245" s="41"/>
      <c r="D245" s="106"/>
      <c r="E245" s="38"/>
      <c r="G245" s="43"/>
      <c r="H245" s="44"/>
    </row>
    <row r="246" spans="2:18" x14ac:dyDescent="0.35">
      <c r="B246" s="41"/>
      <c r="D246" s="109"/>
      <c r="E246" s="52"/>
      <c r="G246" s="43"/>
      <c r="H246" s="44"/>
    </row>
    <row r="247" spans="2:18" x14ac:dyDescent="0.35">
      <c r="B247" s="41"/>
      <c r="D247" s="106"/>
      <c r="E247" s="38"/>
      <c r="G247" s="43"/>
      <c r="H247" s="44"/>
    </row>
    <row r="248" spans="2:18" x14ac:dyDescent="0.35">
      <c r="B248" s="41"/>
      <c r="D248" s="106"/>
      <c r="E248" s="38"/>
      <c r="G248" s="43"/>
      <c r="H248" s="44"/>
    </row>
    <row r="249" spans="2:18" x14ac:dyDescent="0.35">
      <c r="B249" s="41"/>
      <c r="D249" s="106"/>
      <c r="E249" s="38"/>
      <c r="G249" s="43"/>
      <c r="H249" s="44"/>
    </row>
    <row r="250" spans="2:18" x14ac:dyDescent="0.35">
      <c r="B250" s="41"/>
      <c r="D250" s="106"/>
      <c r="E250" s="38"/>
      <c r="G250" s="43"/>
      <c r="H250" s="44"/>
    </row>
    <row r="251" spans="2:18" x14ac:dyDescent="0.35">
      <c r="B251" s="41"/>
      <c r="C251" s="75"/>
      <c r="D251" s="106"/>
      <c r="G251" s="43"/>
      <c r="H251" s="44"/>
      <c r="R251" s="51"/>
    </row>
    <row r="252" spans="2:18" x14ac:dyDescent="0.35">
      <c r="B252" s="41"/>
      <c r="D252" s="106"/>
      <c r="E252" s="38"/>
      <c r="G252" s="43"/>
      <c r="H252" s="44"/>
      <c r="R252" s="51"/>
    </row>
    <row r="253" spans="2:18" x14ac:dyDescent="0.35">
      <c r="B253" s="41"/>
      <c r="D253" s="109"/>
      <c r="E253" s="52"/>
      <c r="G253" s="43"/>
      <c r="H253" s="44"/>
      <c r="R253" s="51"/>
    </row>
    <row r="254" spans="2:18" x14ac:dyDescent="0.35">
      <c r="B254" s="41"/>
      <c r="D254" s="106"/>
      <c r="E254" s="38"/>
      <c r="G254" s="43"/>
      <c r="H254" s="44"/>
      <c r="R254" s="51"/>
    </row>
    <row r="255" spans="2:18" x14ac:dyDescent="0.35">
      <c r="B255" s="41"/>
      <c r="D255" s="106"/>
      <c r="E255" s="38"/>
      <c r="G255" s="43"/>
      <c r="H255" s="44"/>
      <c r="R255" s="51"/>
    </row>
    <row r="256" spans="2:18" x14ac:dyDescent="0.35">
      <c r="B256" s="41"/>
      <c r="D256" s="106"/>
      <c r="E256" s="38"/>
      <c r="G256" s="43"/>
      <c r="H256" s="44"/>
      <c r="R256" s="51"/>
    </row>
    <row r="257" spans="2:18" x14ac:dyDescent="0.35">
      <c r="B257" s="41"/>
      <c r="D257" s="109"/>
      <c r="E257" s="53"/>
      <c r="G257" s="43"/>
      <c r="H257" s="44"/>
      <c r="R257" s="42"/>
    </row>
    <row r="258" spans="2:18" x14ac:dyDescent="0.35">
      <c r="B258" s="41"/>
      <c r="D258" s="106"/>
      <c r="E258" s="38"/>
      <c r="G258" s="43"/>
      <c r="H258" s="44"/>
    </row>
    <row r="259" spans="2:18" x14ac:dyDescent="0.35">
      <c r="B259" s="41"/>
      <c r="D259" s="106"/>
      <c r="E259" s="38"/>
      <c r="G259" s="43"/>
      <c r="H259" s="44"/>
    </row>
    <row r="260" spans="2:18" x14ac:dyDescent="0.35">
      <c r="B260" s="41"/>
      <c r="D260" s="106"/>
      <c r="E260" s="38"/>
      <c r="G260" s="43"/>
      <c r="H260" s="44"/>
    </row>
    <row r="261" spans="2:18" x14ac:dyDescent="0.35">
      <c r="B261" s="41"/>
      <c r="D261" s="106"/>
      <c r="E261" s="38"/>
      <c r="G261" s="43"/>
      <c r="H261" s="44"/>
    </row>
    <row r="262" spans="2:18" x14ac:dyDescent="0.35">
      <c r="B262" s="41"/>
      <c r="D262" s="106"/>
      <c r="E262" s="38"/>
      <c r="G262" s="43"/>
      <c r="H262" s="44"/>
    </row>
    <row r="263" spans="2:18" x14ac:dyDescent="0.35">
      <c r="B263" s="41"/>
      <c r="D263" s="106"/>
      <c r="E263" s="38"/>
      <c r="G263" s="43"/>
      <c r="H263" s="44"/>
    </row>
    <row r="264" spans="2:18" x14ac:dyDescent="0.35">
      <c r="B264" s="41"/>
      <c r="D264" s="106"/>
      <c r="E264" s="38"/>
      <c r="G264" s="43"/>
      <c r="H264" s="44"/>
    </row>
    <row r="265" spans="2:18" x14ac:dyDescent="0.35">
      <c r="B265" s="41"/>
      <c r="D265" s="106"/>
      <c r="E265" s="38"/>
      <c r="G265" s="43"/>
      <c r="H265" s="44"/>
    </row>
    <row r="266" spans="2:18" x14ac:dyDescent="0.35">
      <c r="B266" s="41"/>
      <c r="D266" s="106"/>
      <c r="E266" s="38"/>
      <c r="G266" s="43"/>
      <c r="H266" s="44"/>
    </row>
    <row r="267" spans="2:18" x14ac:dyDescent="0.35">
      <c r="B267" s="41"/>
      <c r="D267" s="106"/>
      <c r="E267" s="38"/>
      <c r="G267" s="43"/>
      <c r="H267" s="44"/>
    </row>
    <row r="268" spans="2:18" x14ac:dyDescent="0.35">
      <c r="B268" s="41"/>
      <c r="D268" s="106"/>
      <c r="E268" s="38"/>
      <c r="G268" s="43"/>
      <c r="H268" s="44"/>
    </row>
    <row r="269" spans="2:18" x14ac:dyDescent="0.35">
      <c r="B269" s="41"/>
      <c r="D269" s="106"/>
      <c r="E269" s="38"/>
      <c r="G269" s="43"/>
      <c r="H269" s="44"/>
    </row>
    <row r="270" spans="2:18" x14ac:dyDescent="0.35">
      <c r="B270" s="41"/>
      <c r="D270" s="106"/>
      <c r="E270" s="38"/>
      <c r="G270" s="43"/>
      <c r="H270" s="44"/>
    </row>
    <row r="271" spans="2:18" x14ac:dyDescent="0.35">
      <c r="B271" s="41"/>
      <c r="D271" s="106"/>
      <c r="E271" s="38"/>
      <c r="G271" s="43"/>
      <c r="H271" s="44"/>
    </row>
    <row r="272" spans="2:18" x14ac:dyDescent="0.35">
      <c r="B272" s="41"/>
      <c r="D272" s="106"/>
      <c r="E272" s="38"/>
      <c r="G272" s="43"/>
      <c r="H272" s="44"/>
    </row>
    <row r="273" spans="2:8" x14ac:dyDescent="0.35">
      <c r="B273" s="41"/>
      <c r="D273" s="106"/>
      <c r="E273" s="38"/>
      <c r="G273" s="43"/>
      <c r="H273" s="44"/>
    </row>
    <row r="274" spans="2:8" x14ac:dyDescent="0.35">
      <c r="B274" s="41"/>
      <c r="D274" s="106"/>
      <c r="E274" s="38"/>
      <c r="G274" s="43"/>
      <c r="H274" s="44"/>
    </row>
    <row r="275" spans="2:8" x14ac:dyDescent="0.35">
      <c r="B275" s="41"/>
      <c r="D275" s="106"/>
      <c r="E275" s="38"/>
      <c r="G275" s="43"/>
      <c r="H275" s="44"/>
    </row>
    <row r="276" spans="2:8" x14ac:dyDescent="0.35">
      <c r="B276" s="41"/>
      <c r="D276" s="106"/>
      <c r="E276" s="38"/>
      <c r="G276" s="43"/>
      <c r="H276" s="44"/>
    </row>
    <row r="277" spans="2:8" x14ac:dyDescent="0.35">
      <c r="B277" s="41"/>
      <c r="D277" s="106"/>
      <c r="E277" s="38"/>
      <c r="G277" s="43"/>
      <c r="H277" s="44"/>
    </row>
    <row r="278" spans="2:8" x14ac:dyDescent="0.35">
      <c r="B278" s="41"/>
      <c r="D278" s="106"/>
      <c r="E278" s="38"/>
      <c r="G278" s="43"/>
      <c r="H278" s="44"/>
    </row>
    <row r="279" spans="2:8" x14ac:dyDescent="0.35">
      <c r="B279" s="41"/>
      <c r="D279" s="106"/>
      <c r="E279" s="38"/>
      <c r="G279" s="43"/>
      <c r="H279" s="44"/>
    </row>
    <row r="280" spans="2:8" x14ac:dyDescent="0.35">
      <c r="B280" s="41"/>
      <c r="D280" s="106"/>
      <c r="E280" s="38"/>
      <c r="G280" s="43"/>
      <c r="H280" s="44"/>
    </row>
    <row r="281" spans="2:8" x14ac:dyDescent="0.35">
      <c r="B281" s="41"/>
      <c r="D281" s="106"/>
      <c r="E281" s="38"/>
      <c r="G281" s="43"/>
      <c r="H281" s="44"/>
    </row>
    <row r="282" spans="2:8" x14ac:dyDescent="0.35">
      <c r="B282" s="41"/>
      <c r="D282" s="106"/>
      <c r="E282" s="38"/>
      <c r="G282" s="43"/>
      <c r="H282" s="44"/>
    </row>
    <row r="283" spans="2:8" x14ac:dyDescent="0.35">
      <c r="B283" s="41"/>
      <c r="D283" s="106"/>
      <c r="E283" s="38"/>
      <c r="G283" s="43"/>
      <c r="H283" s="44"/>
    </row>
    <row r="284" spans="2:8" x14ac:dyDescent="0.35">
      <c r="B284" s="41"/>
      <c r="D284" s="106"/>
      <c r="E284" s="38"/>
      <c r="G284" s="43"/>
      <c r="H284" s="44"/>
    </row>
    <row r="285" spans="2:8" x14ac:dyDescent="0.35">
      <c r="B285" s="41"/>
      <c r="D285" s="106"/>
      <c r="E285" s="38"/>
      <c r="G285" s="43"/>
      <c r="H285" s="44"/>
    </row>
    <row r="286" spans="2:8" x14ac:dyDescent="0.35">
      <c r="B286" s="41"/>
      <c r="D286" s="106"/>
      <c r="E286" s="38"/>
      <c r="G286" s="43"/>
      <c r="H286" s="44"/>
    </row>
    <row r="287" spans="2:8" x14ac:dyDescent="0.35">
      <c r="B287" s="41"/>
      <c r="D287" s="106"/>
      <c r="E287" s="38"/>
      <c r="G287" s="43"/>
      <c r="H287" s="44"/>
    </row>
    <row r="288" spans="2:8" x14ac:dyDescent="0.35">
      <c r="B288" s="41"/>
      <c r="D288" s="106"/>
      <c r="E288" s="38"/>
      <c r="G288" s="43"/>
      <c r="H288" s="44"/>
    </row>
    <row r="289" spans="2:11" x14ac:dyDescent="0.35">
      <c r="B289" s="41"/>
      <c r="D289" s="106"/>
      <c r="E289" s="38"/>
      <c r="G289" s="43"/>
      <c r="H289" s="44"/>
    </row>
    <row r="290" spans="2:11" x14ac:dyDescent="0.35">
      <c r="B290" s="41"/>
      <c r="D290" s="106"/>
      <c r="E290" s="38"/>
      <c r="G290" s="43"/>
      <c r="H290" s="44"/>
    </row>
    <row r="291" spans="2:11" x14ac:dyDescent="0.35">
      <c r="B291" s="41"/>
      <c r="D291" s="106"/>
      <c r="E291" s="38"/>
      <c r="G291" s="43"/>
      <c r="H291" s="44"/>
    </row>
    <row r="292" spans="2:11" x14ac:dyDescent="0.35">
      <c r="B292" s="41"/>
      <c r="D292" s="106"/>
      <c r="E292" s="38"/>
      <c r="G292" s="43"/>
      <c r="H292" s="44"/>
    </row>
    <row r="293" spans="2:11" x14ac:dyDescent="0.35">
      <c r="B293" s="41"/>
      <c r="D293" s="106"/>
      <c r="E293" s="38"/>
      <c r="G293" s="43"/>
      <c r="H293" s="44"/>
    </row>
    <row r="294" spans="2:11" x14ac:dyDescent="0.35">
      <c r="B294" s="41"/>
      <c r="D294" s="106"/>
      <c r="E294" s="38"/>
      <c r="G294" s="43"/>
      <c r="H294" s="44"/>
    </row>
    <row r="295" spans="2:11" x14ac:dyDescent="0.35">
      <c r="B295" s="41"/>
      <c r="D295" s="106"/>
      <c r="E295" s="38"/>
      <c r="G295" s="43"/>
      <c r="H295" s="44"/>
    </row>
    <row r="296" spans="2:11" x14ac:dyDescent="0.35">
      <c r="B296" s="41"/>
      <c r="D296" s="106"/>
      <c r="E296" s="38"/>
      <c r="G296" s="43"/>
      <c r="H296" s="44"/>
    </row>
    <row r="297" spans="2:11" x14ac:dyDescent="0.35">
      <c r="B297" s="41"/>
      <c r="D297" s="106"/>
      <c r="E297" s="38"/>
      <c r="G297" s="43"/>
      <c r="H297" s="44"/>
    </row>
    <row r="298" spans="2:11" x14ac:dyDescent="0.35">
      <c r="B298" s="41"/>
      <c r="D298" s="106"/>
      <c r="E298" s="38"/>
      <c r="G298" s="43"/>
      <c r="H298" s="44"/>
    </row>
    <row r="299" spans="2:11" x14ac:dyDescent="0.35">
      <c r="B299" s="41"/>
      <c r="D299" s="106"/>
      <c r="E299" s="38"/>
      <c r="G299" s="43"/>
      <c r="H299" s="44"/>
    </row>
    <row r="300" spans="2:11" x14ac:dyDescent="0.35">
      <c r="B300" s="41"/>
      <c r="D300" s="106"/>
      <c r="E300" s="38"/>
      <c r="G300" s="43"/>
      <c r="H300" s="44"/>
    </row>
    <row r="301" spans="2:11" x14ac:dyDescent="0.35">
      <c r="B301" s="41"/>
      <c r="D301" s="106"/>
      <c r="E301" s="38"/>
      <c r="G301" s="38"/>
      <c r="H301" s="44"/>
    </row>
    <row r="302" spans="2:11" x14ac:dyDescent="0.35">
      <c r="B302" s="41"/>
      <c r="D302" s="106"/>
      <c r="E302" s="38"/>
      <c r="G302" s="43"/>
      <c r="H302" s="44"/>
    </row>
    <row r="303" spans="2:11" x14ac:dyDescent="0.35">
      <c r="B303" s="41"/>
      <c r="D303" s="106"/>
      <c r="E303" s="38"/>
      <c r="G303" s="43"/>
      <c r="H303" s="44"/>
    </row>
    <row r="304" spans="2:11" x14ac:dyDescent="0.35">
      <c r="B304" s="41"/>
      <c r="D304" s="106"/>
      <c r="E304" s="38"/>
      <c r="G304" s="43"/>
      <c r="H304" s="44"/>
      <c r="K304" s="42"/>
    </row>
    <row r="305" spans="2:8" x14ac:dyDescent="0.35">
      <c r="B305" s="41"/>
      <c r="D305" s="106"/>
      <c r="E305" s="38"/>
      <c r="G305" s="43"/>
      <c r="H305" s="44"/>
    </row>
    <row r="306" spans="2:8" x14ac:dyDescent="0.35">
      <c r="B306" s="41"/>
      <c r="D306" s="106"/>
      <c r="E306" s="38"/>
      <c r="G306" s="43"/>
      <c r="H306" s="44"/>
    </row>
    <row r="307" spans="2:8" x14ac:dyDescent="0.35">
      <c r="B307" s="41"/>
      <c r="D307" s="106"/>
      <c r="E307" s="38"/>
      <c r="G307" s="43"/>
      <c r="H307" s="44"/>
    </row>
    <row r="308" spans="2:8" x14ac:dyDescent="0.35">
      <c r="B308" s="41"/>
      <c r="D308" s="106"/>
      <c r="E308" s="38"/>
      <c r="G308" s="43"/>
      <c r="H308" s="44"/>
    </row>
    <row r="309" spans="2:8" x14ac:dyDescent="0.35">
      <c r="B309" s="41"/>
      <c r="D309" s="106"/>
      <c r="E309" s="38"/>
      <c r="G309" s="43"/>
      <c r="H309" s="44"/>
    </row>
    <row r="310" spans="2:8" x14ac:dyDescent="0.35">
      <c r="B310" s="41"/>
      <c r="D310" s="106"/>
      <c r="E310" s="38"/>
      <c r="G310" s="43"/>
      <c r="H310" s="44"/>
    </row>
    <row r="311" spans="2:8" x14ac:dyDescent="0.35">
      <c r="B311" s="41"/>
      <c r="D311" s="106"/>
      <c r="E311" s="38"/>
      <c r="G311" s="43"/>
      <c r="H311" s="44"/>
    </row>
    <row r="312" spans="2:8" x14ac:dyDescent="0.35">
      <c r="B312" s="41"/>
      <c r="D312" s="106"/>
      <c r="E312" s="38"/>
      <c r="G312" s="43"/>
      <c r="H312" s="44"/>
    </row>
    <row r="313" spans="2:8" x14ac:dyDescent="0.35">
      <c r="B313" s="41"/>
      <c r="D313" s="106"/>
      <c r="E313" s="38"/>
      <c r="G313" s="43"/>
      <c r="H313" s="44"/>
    </row>
    <row r="314" spans="2:8" x14ac:dyDescent="0.35">
      <c r="B314" s="41"/>
      <c r="D314" s="106"/>
      <c r="E314" s="38"/>
      <c r="G314" s="43"/>
      <c r="H314" s="44"/>
    </row>
    <row r="315" spans="2:8" x14ac:dyDescent="0.35">
      <c r="B315" s="41"/>
      <c r="D315" s="106"/>
      <c r="E315" s="38"/>
      <c r="G315" s="43"/>
      <c r="H315" s="44"/>
    </row>
    <row r="316" spans="2:8" x14ac:dyDescent="0.35">
      <c r="B316" s="41"/>
      <c r="D316" s="106"/>
      <c r="E316" s="38"/>
      <c r="G316" s="43"/>
      <c r="H316" s="44"/>
    </row>
    <row r="317" spans="2:8" x14ac:dyDescent="0.35">
      <c r="B317" s="41"/>
      <c r="D317" s="106"/>
      <c r="E317" s="38"/>
      <c r="G317" s="43"/>
      <c r="H317" s="44"/>
    </row>
    <row r="318" spans="2:8" x14ac:dyDescent="0.35">
      <c r="B318" s="41"/>
      <c r="D318" s="106"/>
      <c r="E318" s="38"/>
      <c r="G318" s="43"/>
      <c r="H318" s="44"/>
    </row>
    <row r="319" spans="2:8" x14ac:dyDescent="0.35">
      <c r="B319" s="41"/>
      <c r="D319" s="106"/>
      <c r="E319" s="38"/>
      <c r="G319" s="43"/>
      <c r="H319" s="44"/>
    </row>
    <row r="320" spans="2:8" x14ac:dyDescent="0.35">
      <c r="B320" s="41"/>
      <c r="D320" s="106"/>
      <c r="E320" s="38"/>
      <c r="G320" s="43"/>
      <c r="H320" s="44"/>
    </row>
    <row r="321" spans="2:10" x14ac:dyDescent="0.35">
      <c r="B321" s="41"/>
      <c r="D321" s="106"/>
      <c r="E321" s="38"/>
      <c r="G321" s="43"/>
      <c r="H321" s="44"/>
    </row>
    <row r="322" spans="2:10" x14ac:dyDescent="0.35">
      <c r="B322" s="41"/>
      <c r="D322" s="106"/>
      <c r="E322" s="38"/>
      <c r="G322" s="43"/>
      <c r="H322" s="44"/>
    </row>
    <row r="323" spans="2:10" x14ac:dyDescent="0.35">
      <c r="B323" s="41"/>
      <c r="D323" s="106"/>
      <c r="G323" s="43"/>
      <c r="H323" s="44"/>
    </row>
    <row r="324" spans="2:10" x14ac:dyDescent="0.35">
      <c r="B324" s="41"/>
      <c r="D324" s="106"/>
      <c r="E324" s="38"/>
      <c r="G324" s="43"/>
      <c r="H324" s="44"/>
    </row>
    <row r="325" spans="2:10" x14ac:dyDescent="0.35">
      <c r="B325" s="41"/>
      <c r="D325" s="106"/>
      <c r="E325" s="38"/>
      <c r="G325" s="43"/>
      <c r="H325" s="44"/>
    </row>
    <row r="326" spans="2:10" x14ac:dyDescent="0.35">
      <c r="B326" s="41"/>
      <c r="D326" s="106"/>
      <c r="E326" s="38"/>
      <c r="G326" s="43"/>
      <c r="H326" s="44"/>
    </row>
    <row r="327" spans="2:10" x14ac:dyDescent="0.35">
      <c r="B327" s="41"/>
      <c r="D327" s="106"/>
      <c r="E327" s="38"/>
      <c r="G327" s="43"/>
      <c r="H327" s="44"/>
    </row>
    <row r="328" spans="2:10" x14ac:dyDescent="0.35">
      <c r="B328" s="41"/>
      <c r="D328" s="106"/>
      <c r="E328" s="38"/>
      <c r="G328" s="43"/>
      <c r="H328" s="44"/>
    </row>
    <row r="329" spans="2:10" x14ac:dyDescent="0.35">
      <c r="B329" s="41"/>
      <c r="D329" s="106"/>
      <c r="E329" s="38"/>
      <c r="G329" s="43"/>
      <c r="H329" s="44"/>
    </row>
    <row r="330" spans="2:10" x14ac:dyDescent="0.35">
      <c r="B330" s="41"/>
      <c r="D330" s="106"/>
      <c r="E330" s="38"/>
      <c r="G330" s="43"/>
      <c r="H330" s="44"/>
    </row>
    <row r="331" spans="2:10" x14ac:dyDescent="0.35">
      <c r="B331" s="41"/>
      <c r="D331" s="106"/>
      <c r="E331" s="38"/>
      <c r="G331" s="43"/>
      <c r="H331" s="44"/>
      <c r="I331" s="43"/>
      <c r="J331" s="44"/>
    </row>
    <row r="332" spans="2:10" x14ac:dyDescent="0.35">
      <c r="B332" s="41"/>
      <c r="D332" s="106"/>
      <c r="E332" s="38"/>
      <c r="G332" s="43"/>
      <c r="H332" s="44"/>
    </row>
    <row r="333" spans="2:10" x14ac:dyDescent="0.35">
      <c r="B333" s="41"/>
      <c r="D333" s="106"/>
      <c r="E333" s="38"/>
      <c r="G333" s="43"/>
      <c r="H333" s="44"/>
    </row>
    <row r="334" spans="2:10" x14ac:dyDescent="0.35">
      <c r="B334" s="41"/>
      <c r="D334" s="106"/>
      <c r="E334" s="38"/>
      <c r="G334" s="43"/>
      <c r="H334" s="44"/>
      <c r="I334" s="42"/>
    </row>
    <row r="335" spans="2:10" x14ac:dyDescent="0.35">
      <c r="B335" s="41"/>
      <c r="D335" s="106"/>
      <c r="E335" s="38"/>
      <c r="G335" s="43"/>
      <c r="H335" s="44"/>
      <c r="I335" s="42"/>
    </row>
    <row r="336" spans="2:10" x14ac:dyDescent="0.35">
      <c r="B336" s="41"/>
      <c r="D336" s="106"/>
      <c r="E336" s="38"/>
      <c r="G336" s="43"/>
      <c r="H336" s="44"/>
      <c r="I336" s="42"/>
    </row>
    <row r="337" spans="2:10" x14ac:dyDescent="0.35">
      <c r="B337" s="41"/>
      <c r="D337" s="106"/>
      <c r="E337" s="38"/>
      <c r="G337" s="43"/>
      <c r="H337" s="44"/>
      <c r="I337" s="42"/>
    </row>
    <row r="338" spans="2:10" x14ac:dyDescent="0.35">
      <c r="B338" s="41"/>
      <c r="D338" s="106"/>
      <c r="E338" s="38"/>
      <c r="G338" s="43"/>
      <c r="H338" s="54"/>
      <c r="I338" s="42"/>
    </row>
    <row r="339" spans="2:10" x14ac:dyDescent="0.35">
      <c r="B339" s="41"/>
      <c r="D339" s="106"/>
      <c r="E339" s="38"/>
      <c r="G339" s="43"/>
      <c r="H339" s="44"/>
      <c r="I339" s="42"/>
    </row>
    <row r="340" spans="2:10" x14ac:dyDescent="0.35">
      <c r="B340" s="41"/>
      <c r="D340" s="106"/>
      <c r="E340" s="38"/>
      <c r="G340" s="43"/>
      <c r="H340" s="44"/>
    </row>
    <row r="341" spans="2:10" x14ac:dyDescent="0.35">
      <c r="B341" s="41"/>
      <c r="D341" s="106"/>
      <c r="E341" s="38"/>
      <c r="G341" s="43"/>
      <c r="H341" s="44"/>
    </row>
    <row r="342" spans="2:10" x14ac:dyDescent="0.35">
      <c r="B342" s="41"/>
      <c r="D342" s="106"/>
      <c r="E342" s="38"/>
      <c r="G342" s="43"/>
      <c r="H342" s="44"/>
    </row>
    <row r="343" spans="2:10" x14ac:dyDescent="0.35">
      <c r="B343" s="41"/>
      <c r="D343" s="106"/>
      <c r="E343" s="38"/>
      <c r="G343" s="43"/>
      <c r="H343" s="44"/>
      <c r="I343" s="42"/>
    </row>
    <row r="344" spans="2:10" x14ac:dyDescent="0.35">
      <c r="B344" s="41"/>
      <c r="D344" s="106"/>
      <c r="E344" s="38"/>
      <c r="G344" s="43"/>
      <c r="H344" s="44"/>
      <c r="I344" s="42"/>
    </row>
    <row r="345" spans="2:10" x14ac:dyDescent="0.35">
      <c r="B345" s="41"/>
      <c r="D345" s="106"/>
      <c r="E345" s="38"/>
      <c r="G345" s="43"/>
      <c r="H345" s="44"/>
      <c r="I345" s="42"/>
    </row>
    <row r="346" spans="2:10" x14ac:dyDescent="0.35">
      <c r="B346" s="41"/>
      <c r="D346" s="106"/>
      <c r="E346" s="38"/>
      <c r="G346" s="43"/>
      <c r="H346" s="44"/>
      <c r="I346" s="42"/>
    </row>
    <row r="347" spans="2:10" x14ac:dyDescent="0.35">
      <c r="B347" s="41"/>
      <c r="D347" s="106"/>
      <c r="E347" s="38"/>
      <c r="G347" s="43"/>
      <c r="H347" s="44"/>
      <c r="I347" s="42"/>
    </row>
    <row r="348" spans="2:10" x14ac:dyDescent="0.35">
      <c r="B348" s="41"/>
      <c r="D348" s="106"/>
      <c r="E348" s="38"/>
      <c r="G348" s="43"/>
      <c r="H348" s="44"/>
      <c r="I348" s="42"/>
    </row>
    <row r="349" spans="2:10" x14ac:dyDescent="0.35">
      <c r="B349" s="41"/>
      <c r="D349" s="106"/>
      <c r="E349" s="38"/>
      <c r="G349" s="43"/>
      <c r="H349" s="44"/>
      <c r="J349" s="42"/>
    </row>
    <row r="350" spans="2:10" x14ac:dyDescent="0.35">
      <c r="B350" s="55"/>
      <c r="E350" s="38"/>
      <c r="F350" s="75"/>
      <c r="H350" s="44"/>
      <c r="J350" s="42"/>
    </row>
    <row r="351" spans="2:10" x14ac:dyDescent="0.35">
      <c r="B351" s="55"/>
      <c r="E351" s="38"/>
      <c r="F351" s="75"/>
      <c r="G351" s="43"/>
      <c r="H351" s="44"/>
      <c r="J351" s="42"/>
    </row>
    <row r="352" spans="2:10" x14ac:dyDescent="0.35">
      <c r="E352" s="38"/>
      <c r="F352" s="75"/>
      <c r="G352" s="43"/>
      <c r="H352" s="44"/>
      <c r="J352" s="42"/>
    </row>
    <row r="353" spans="3:8" x14ac:dyDescent="0.35">
      <c r="C353" s="75"/>
      <c r="E353" s="38"/>
      <c r="F353" s="75"/>
      <c r="G353" s="43"/>
      <c r="H353" s="44"/>
    </row>
    <row r="354" spans="3:8" x14ac:dyDescent="0.35">
      <c r="C354" s="78"/>
      <c r="D354" s="110"/>
      <c r="E354" s="56"/>
      <c r="F354" s="78"/>
      <c r="G354" s="57"/>
      <c r="H354" s="44"/>
    </row>
    <row r="355" spans="3:8" x14ac:dyDescent="0.35">
      <c r="C355" s="75"/>
      <c r="D355" s="106"/>
      <c r="E355" s="38"/>
      <c r="F355" s="75"/>
      <c r="G355" s="43"/>
      <c r="H355" s="44"/>
    </row>
    <row r="356" spans="3:8" x14ac:dyDescent="0.35">
      <c r="C356" s="75"/>
      <c r="D356" s="106"/>
      <c r="E356" s="38"/>
      <c r="F356" s="75"/>
      <c r="G356" s="43"/>
      <c r="H356" s="44"/>
    </row>
    <row r="357" spans="3:8" x14ac:dyDescent="0.35">
      <c r="C357" s="75"/>
      <c r="D357" s="106"/>
      <c r="E357" s="38"/>
      <c r="F357" s="75"/>
      <c r="G357" s="43"/>
      <c r="H357" s="44"/>
    </row>
    <row r="358" spans="3:8" x14ac:dyDescent="0.35">
      <c r="C358" s="75"/>
      <c r="D358" s="106"/>
      <c r="E358" s="38"/>
      <c r="F358" s="75"/>
      <c r="G358" s="43"/>
      <c r="H358" s="44"/>
    </row>
    <row r="359" spans="3:8" x14ac:dyDescent="0.35">
      <c r="C359" s="75"/>
      <c r="D359" s="106"/>
      <c r="E359" s="38"/>
      <c r="F359" s="75"/>
      <c r="G359" s="43"/>
      <c r="H359" s="44"/>
    </row>
    <row r="360" spans="3:8" x14ac:dyDescent="0.35">
      <c r="C360" s="75"/>
      <c r="D360" s="106"/>
      <c r="E360" s="38"/>
      <c r="F360" s="75"/>
      <c r="G360" s="43"/>
      <c r="H360" s="44"/>
    </row>
    <row r="361" spans="3:8" x14ac:dyDescent="0.35">
      <c r="C361" s="75"/>
      <c r="D361" s="106"/>
      <c r="E361" s="38"/>
      <c r="F361" s="75"/>
      <c r="G361" s="43"/>
      <c r="H361" s="44"/>
    </row>
    <row r="362" spans="3:8" x14ac:dyDescent="0.35">
      <c r="C362" s="75"/>
      <c r="D362" s="106"/>
      <c r="E362" s="38"/>
      <c r="F362" s="75"/>
      <c r="G362" s="43"/>
      <c r="H362" s="44"/>
    </row>
    <row r="363" spans="3:8" x14ac:dyDescent="0.35">
      <c r="C363" s="75"/>
      <c r="D363" s="106"/>
      <c r="E363" s="38"/>
      <c r="F363" s="75"/>
      <c r="G363" s="43"/>
      <c r="H363" s="44"/>
    </row>
    <row r="364" spans="3:8" x14ac:dyDescent="0.35">
      <c r="C364" s="75"/>
      <c r="D364" s="106"/>
      <c r="E364" s="38"/>
      <c r="F364" s="75"/>
      <c r="G364" s="43"/>
      <c r="H364" s="44"/>
    </row>
    <row r="365" spans="3:8" x14ac:dyDescent="0.35">
      <c r="C365" s="75"/>
      <c r="D365" s="106"/>
      <c r="E365" s="38"/>
      <c r="F365" s="75"/>
      <c r="G365" s="43"/>
      <c r="H365" s="44"/>
    </row>
    <row r="366" spans="3:8" x14ac:dyDescent="0.35">
      <c r="C366" s="75"/>
      <c r="D366" s="106"/>
      <c r="E366" s="38"/>
      <c r="F366" s="75"/>
      <c r="G366" s="43"/>
      <c r="H366" s="44"/>
    </row>
    <row r="367" spans="3:8" x14ac:dyDescent="0.35">
      <c r="C367" s="75"/>
      <c r="D367" s="106"/>
      <c r="E367" s="38"/>
      <c r="F367" s="75"/>
      <c r="G367" s="43"/>
      <c r="H367" s="44"/>
    </row>
    <row r="368" spans="3:8" x14ac:dyDescent="0.35">
      <c r="C368" s="79"/>
      <c r="D368" s="107"/>
      <c r="E368" s="46"/>
      <c r="F368" s="79"/>
      <c r="G368" s="43"/>
      <c r="H368" s="44"/>
    </row>
    <row r="369" spans="3:8" x14ac:dyDescent="0.35">
      <c r="C369" s="79"/>
      <c r="D369" s="107"/>
      <c r="E369" s="46"/>
      <c r="F369" s="79"/>
      <c r="G369" s="43"/>
      <c r="H369" s="44"/>
    </row>
    <row r="370" spans="3:8" x14ac:dyDescent="0.35">
      <c r="C370" s="79"/>
      <c r="D370" s="107"/>
      <c r="E370" s="46"/>
      <c r="F370" s="79"/>
      <c r="G370" s="43"/>
      <c r="H370" s="44"/>
    </row>
    <row r="371" spans="3:8" x14ac:dyDescent="0.35">
      <c r="C371" s="79"/>
      <c r="D371" s="107"/>
      <c r="E371" s="46"/>
      <c r="F371" s="79"/>
      <c r="G371" s="43"/>
      <c r="H371" s="44"/>
    </row>
    <row r="372" spans="3:8" x14ac:dyDescent="0.35">
      <c r="C372" s="79"/>
      <c r="D372" s="107"/>
      <c r="E372" s="46"/>
      <c r="F372" s="79"/>
      <c r="G372" s="43"/>
      <c r="H372" s="44"/>
    </row>
    <row r="373" spans="3:8" x14ac:dyDescent="0.35">
      <c r="C373" s="79"/>
      <c r="D373" s="107"/>
      <c r="E373" s="46"/>
      <c r="F373" s="79"/>
      <c r="G373" s="43"/>
      <c r="H373" s="44"/>
    </row>
    <row r="374" spans="3:8" x14ac:dyDescent="0.35">
      <c r="C374" s="79"/>
      <c r="D374" s="107"/>
      <c r="E374" s="46"/>
      <c r="F374" s="79"/>
      <c r="G374" s="43"/>
      <c r="H374" s="44"/>
    </row>
    <row r="375" spans="3:8" x14ac:dyDescent="0.35">
      <c r="C375" s="79"/>
      <c r="D375" s="107"/>
      <c r="E375" s="46"/>
      <c r="F375" s="79"/>
      <c r="G375" s="43"/>
      <c r="H375" s="44"/>
    </row>
    <row r="376" spans="3:8" x14ac:dyDescent="0.35">
      <c r="C376" s="79"/>
      <c r="D376" s="107"/>
      <c r="E376" s="46"/>
      <c r="F376" s="79"/>
      <c r="G376" s="43"/>
      <c r="H376" s="44"/>
    </row>
    <row r="377" spans="3:8" x14ac:dyDescent="0.35">
      <c r="C377" s="79"/>
      <c r="D377" s="107"/>
      <c r="E377" s="46"/>
      <c r="F377" s="79"/>
      <c r="G377" s="43"/>
    </row>
    <row r="378" spans="3:8" x14ac:dyDescent="0.35">
      <c r="C378" s="79"/>
      <c r="D378" s="107"/>
      <c r="E378" s="46"/>
      <c r="F378" s="79"/>
      <c r="G378" s="43"/>
      <c r="H378" s="44"/>
    </row>
    <row r="379" spans="3:8" x14ac:dyDescent="0.35">
      <c r="C379" s="79"/>
      <c r="D379" s="107"/>
      <c r="E379" s="46"/>
      <c r="F379" s="79"/>
      <c r="G379" s="43"/>
      <c r="H379" s="44"/>
    </row>
    <row r="380" spans="3:8" x14ac:dyDescent="0.35">
      <c r="C380" s="79"/>
      <c r="D380" s="107"/>
      <c r="E380" s="46"/>
      <c r="F380" s="79"/>
      <c r="G380" s="43"/>
      <c r="H380" s="44"/>
    </row>
    <row r="381" spans="3:8" x14ac:dyDescent="0.35">
      <c r="C381" s="79"/>
      <c r="D381" s="107"/>
      <c r="E381" s="46"/>
      <c r="F381" s="79"/>
      <c r="G381" s="43"/>
      <c r="H381" s="44"/>
    </row>
    <row r="382" spans="3:8" x14ac:dyDescent="0.35">
      <c r="C382" s="79"/>
      <c r="D382" s="107"/>
      <c r="E382" s="46"/>
      <c r="F382" s="79"/>
      <c r="G382" s="43"/>
      <c r="H382" s="44"/>
    </row>
    <row r="383" spans="3:8" x14ac:dyDescent="0.35">
      <c r="C383" s="79"/>
      <c r="D383" s="107"/>
      <c r="E383" s="46"/>
      <c r="F383" s="79"/>
      <c r="G383" s="43"/>
      <c r="H383" s="44"/>
    </row>
    <row r="384" spans="3:8" x14ac:dyDescent="0.35">
      <c r="C384" s="79"/>
      <c r="D384" s="107"/>
      <c r="E384" s="46"/>
      <c r="F384" s="79"/>
      <c r="G384" s="43"/>
      <c r="H384" s="44"/>
    </row>
    <row r="385" spans="3:8" x14ac:dyDescent="0.35">
      <c r="C385" s="79"/>
      <c r="D385" s="107"/>
      <c r="E385" s="46"/>
      <c r="F385" s="79"/>
      <c r="G385" s="43"/>
      <c r="H385" s="44"/>
    </row>
    <row r="386" spans="3:8" x14ac:dyDescent="0.35">
      <c r="C386" s="79"/>
      <c r="D386" s="107"/>
      <c r="E386" s="46"/>
      <c r="F386" s="79"/>
      <c r="G386" s="43"/>
      <c r="H386" s="44"/>
    </row>
    <row r="387" spans="3:8" x14ac:dyDescent="0.35">
      <c r="C387" s="79"/>
      <c r="D387" s="107"/>
      <c r="E387" s="46"/>
      <c r="F387" s="79"/>
      <c r="G387" s="43"/>
      <c r="H387" s="44"/>
    </row>
    <row r="388" spans="3:8" x14ac:dyDescent="0.35">
      <c r="C388" s="79"/>
      <c r="D388" s="107"/>
      <c r="E388" s="46"/>
      <c r="F388" s="79"/>
      <c r="G388" s="43"/>
      <c r="H388" s="44"/>
    </row>
    <row r="389" spans="3:8" x14ac:dyDescent="0.35">
      <c r="C389" s="79"/>
      <c r="D389" s="107"/>
      <c r="E389" s="46"/>
      <c r="F389" s="79"/>
      <c r="G389" s="43"/>
      <c r="H389" s="44"/>
    </row>
    <row r="390" spans="3:8" x14ac:dyDescent="0.35">
      <c r="C390" s="79"/>
      <c r="D390" s="107"/>
      <c r="E390" s="46"/>
      <c r="F390" s="79"/>
      <c r="G390" s="43"/>
      <c r="H390" s="44"/>
    </row>
    <row r="391" spans="3:8" x14ac:dyDescent="0.35">
      <c r="C391" s="79"/>
      <c r="D391" s="107"/>
      <c r="E391" s="46"/>
      <c r="F391" s="79"/>
      <c r="G391" s="43"/>
      <c r="H391" s="44"/>
    </row>
    <row r="392" spans="3:8" x14ac:dyDescent="0.35">
      <c r="C392" s="79"/>
      <c r="D392" s="107"/>
      <c r="E392" s="46"/>
      <c r="F392" s="79"/>
      <c r="G392" s="43"/>
      <c r="H392" s="44"/>
    </row>
    <row r="393" spans="3:8" x14ac:dyDescent="0.35">
      <c r="C393" s="79"/>
      <c r="D393" s="107"/>
      <c r="E393" s="46"/>
      <c r="F393" s="79"/>
      <c r="G393" s="43"/>
      <c r="H393" s="44"/>
    </row>
    <row r="394" spans="3:8" x14ac:dyDescent="0.35">
      <c r="C394" s="79"/>
      <c r="D394" s="107"/>
      <c r="E394" s="46"/>
      <c r="F394" s="79"/>
      <c r="G394" s="43"/>
      <c r="H394" s="44"/>
    </row>
    <row r="395" spans="3:8" x14ac:dyDescent="0.35">
      <c r="C395" s="79"/>
      <c r="D395" s="107"/>
      <c r="E395" s="46"/>
      <c r="F395" s="79"/>
      <c r="G395" s="43"/>
      <c r="H395" s="44"/>
    </row>
    <row r="396" spans="3:8" x14ac:dyDescent="0.35">
      <c r="C396" s="79"/>
      <c r="D396" s="107"/>
      <c r="E396" s="46"/>
      <c r="F396" s="79"/>
      <c r="G396" s="43"/>
      <c r="H396" s="44"/>
    </row>
    <row r="397" spans="3:8" x14ac:dyDescent="0.35">
      <c r="C397" s="79"/>
      <c r="D397" s="107"/>
      <c r="E397" s="46"/>
      <c r="F397" s="79"/>
      <c r="G397" s="43"/>
      <c r="H397" s="44"/>
    </row>
    <row r="398" spans="3:8" x14ac:dyDescent="0.35">
      <c r="C398" s="79"/>
      <c r="D398" s="107"/>
      <c r="E398" s="46"/>
      <c r="F398" s="79"/>
      <c r="G398" s="43"/>
      <c r="H398" s="44"/>
    </row>
    <row r="399" spans="3:8" x14ac:dyDescent="0.35">
      <c r="C399" s="79"/>
      <c r="D399" s="107"/>
      <c r="E399" s="46"/>
      <c r="F399" s="79"/>
      <c r="G399" s="43"/>
      <c r="H399" s="44"/>
    </row>
    <row r="400" spans="3:8" x14ac:dyDescent="0.35">
      <c r="C400" s="79"/>
      <c r="D400" s="107"/>
      <c r="E400" s="46"/>
      <c r="F400" s="79"/>
      <c r="G400" s="43"/>
      <c r="H400" s="44"/>
    </row>
    <row r="401" spans="3:8" x14ac:dyDescent="0.35">
      <c r="C401" s="79"/>
      <c r="D401" s="107"/>
      <c r="E401" s="46"/>
      <c r="F401" s="79"/>
      <c r="G401" s="43"/>
      <c r="H401" s="44"/>
    </row>
    <row r="402" spans="3:8" x14ac:dyDescent="0.35">
      <c r="C402" s="79"/>
      <c r="D402" s="107"/>
      <c r="E402" s="46"/>
      <c r="F402" s="79"/>
      <c r="G402" s="43"/>
      <c r="H402" s="44"/>
    </row>
    <row r="403" spans="3:8" x14ac:dyDescent="0.35">
      <c r="C403" s="79"/>
      <c r="D403" s="107"/>
      <c r="E403" s="46"/>
      <c r="F403" s="79"/>
      <c r="G403" s="43"/>
      <c r="H403" s="44"/>
    </row>
    <row r="404" spans="3:8" x14ac:dyDescent="0.35">
      <c r="C404" s="79"/>
      <c r="D404" s="107"/>
      <c r="E404" s="46"/>
      <c r="F404" s="79"/>
      <c r="G404" s="43"/>
      <c r="H404" s="44"/>
    </row>
    <row r="405" spans="3:8" x14ac:dyDescent="0.35">
      <c r="C405" s="79"/>
      <c r="D405" s="107"/>
      <c r="E405" s="46"/>
      <c r="F405" s="79"/>
      <c r="G405" s="43"/>
      <c r="H405" s="44"/>
    </row>
    <row r="406" spans="3:8" x14ac:dyDescent="0.35">
      <c r="C406" s="79"/>
      <c r="D406" s="107"/>
      <c r="E406" s="46"/>
      <c r="F406" s="79"/>
      <c r="G406" s="43"/>
      <c r="H406" s="44"/>
    </row>
    <row r="407" spans="3:8" x14ac:dyDescent="0.35">
      <c r="C407" s="79"/>
      <c r="D407" s="107"/>
      <c r="E407" s="46"/>
      <c r="F407" s="79"/>
      <c r="G407" s="43"/>
      <c r="H407" s="44"/>
    </row>
    <row r="408" spans="3:8" x14ac:dyDescent="0.35">
      <c r="C408" s="79"/>
      <c r="D408" s="107"/>
      <c r="E408" s="46"/>
      <c r="F408" s="79"/>
      <c r="G408" s="43"/>
      <c r="H408" s="44"/>
    </row>
    <row r="409" spans="3:8" x14ac:dyDescent="0.35">
      <c r="C409" s="79"/>
      <c r="D409" s="107"/>
      <c r="E409" s="46"/>
      <c r="F409" s="79"/>
      <c r="G409" s="43"/>
      <c r="H409" s="44"/>
    </row>
    <row r="410" spans="3:8" x14ac:dyDescent="0.35">
      <c r="C410" s="79"/>
      <c r="D410" s="107"/>
      <c r="E410" s="46"/>
      <c r="F410" s="79"/>
      <c r="G410" s="43"/>
      <c r="H410" s="44"/>
    </row>
    <row r="411" spans="3:8" x14ac:dyDescent="0.35">
      <c r="C411" s="79"/>
      <c r="D411" s="107"/>
      <c r="E411" s="46"/>
      <c r="F411" s="79"/>
      <c r="G411" s="43"/>
      <c r="H411" s="44"/>
    </row>
    <row r="412" spans="3:8" x14ac:dyDescent="0.35">
      <c r="C412" s="79"/>
      <c r="D412" s="107"/>
      <c r="E412" s="46"/>
      <c r="F412" s="79"/>
      <c r="G412" s="43"/>
      <c r="H412" s="44"/>
    </row>
    <row r="413" spans="3:8" x14ac:dyDescent="0.35">
      <c r="C413" s="79"/>
      <c r="D413" s="107"/>
      <c r="E413" s="46"/>
      <c r="F413" s="79"/>
      <c r="G413" s="43"/>
      <c r="H413" s="44"/>
    </row>
    <row r="414" spans="3:8" x14ac:dyDescent="0.35">
      <c r="C414" s="79"/>
      <c r="D414" s="107"/>
      <c r="E414" s="46"/>
      <c r="F414" s="79"/>
      <c r="G414" s="43"/>
      <c r="H414" s="44"/>
    </row>
    <row r="415" spans="3:8" x14ac:dyDescent="0.35">
      <c r="C415" s="79"/>
      <c r="D415" s="107"/>
      <c r="E415" s="46"/>
      <c r="F415" s="79"/>
      <c r="G415" s="43"/>
      <c r="H415" s="44"/>
    </row>
    <row r="416" spans="3:8" x14ac:dyDescent="0.35">
      <c r="C416" s="79"/>
      <c r="D416" s="107"/>
      <c r="E416" s="46"/>
      <c r="F416" s="79"/>
      <c r="G416" s="43"/>
      <c r="H416" s="44"/>
    </row>
    <row r="417" spans="3:8" x14ac:dyDescent="0.35">
      <c r="C417" s="79"/>
      <c r="D417" s="107"/>
      <c r="E417" s="46"/>
      <c r="F417" s="79"/>
      <c r="G417" s="43"/>
      <c r="H417" s="44"/>
    </row>
    <row r="418" spans="3:8" x14ac:dyDescent="0.35">
      <c r="C418" s="79"/>
      <c r="D418" s="107"/>
      <c r="E418" s="46"/>
      <c r="F418" s="79"/>
      <c r="G418" s="43"/>
      <c r="H418" s="44"/>
    </row>
    <row r="419" spans="3:8" x14ac:dyDescent="0.35">
      <c r="C419" s="79"/>
      <c r="D419" s="107"/>
      <c r="E419" s="46"/>
      <c r="F419" s="79"/>
      <c r="G419" s="43"/>
      <c r="H419" s="44"/>
    </row>
    <row r="420" spans="3:8" x14ac:dyDescent="0.35">
      <c r="C420" s="77"/>
      <c r="D420" s="111"/>
      <c r="E420" s="45"/>
      <c r="F420" s="77"/>
      <c r="G420" s="45"/>
      <c r="H420" s="44"/>
    </row>
    <row r="421" spans="3:8" x14ac:dyDescent="0.35">
      <c r="C421" s="77"/>
      <c r="D421" s="111"/>
      <c r="E421" s="45"/>
      <c r="F421" s="77"/>
      <c r="G421" s="45"/>
      <c r="H421" s="44"/>
    </row>
    <row r="422" spans="3:8" x14ac:dyDescent="0.35">
      <c r="C422" s="77"/>
      <c r="D422" s="111"/>
      <c r="E422" s="45"/>
      <c r="F422" s="77"/>
      <c r="G422" s="45"/>
      <c r="H422" s="44"/>
    </row>
    <row r="423" spans="3:8" x14ac:dyDescent="0.35">
      <c r="C423" s="77"/>
      <c r="D423" s="111"/>
      <c r="E423" s="45"/>
      <c r="F423" s="77"/>
      <c r="G423" s="45"/>
      <c r="H423" s="44"/>
    </row>
    <row r="424" spans="3:8" x14ac:dyDescent="0.35">
      <c r="C424" s="77"/>
      <c r="D424" s="111"/>
      <c r="E424" s="45"/>
      <c r="F424" s="77"/>
      <c r="G424" s="45"/>
      <c r="H424" s="44"/>
    </row>
    <row r="425" spans="3:8" x14ac:dyDescent="0.35">
      <c r="C425" s="77"/>
      <c r="D425" s="111"/>
      <c r="E425" s="45"/>
      <c r="F425" s="77"/>
      <c r="G425" s="45"/>
      <c r="H425" s="44"/>
    </row>
    <row r="426" spans="3:8" x14ac:dyDescent="0.35">
      <c r="C426" s="77"/>
      <c r="D426" s="111"/>
      <c r="E426" s="45"/>
      <c r="F426" s="77"/>
      <c r="G426" s="45"/>
      <c r="H426" s="44"/>
    </row>
    <row r="427" spans="3:8" x14ac:dyDescent="0.35">
      <c r="C427" s="77"/>
      <c r="D427" s="111"/>
      <c r="E427" s="45"/>
      <c r="F427" s="77"/>
      <c r="G427" s="45"/>
      <c r="H427" s="44"/>
    </row>
    <row r="428" spans="3:8" x14ac:dyDescent="0.35">
      <c r="C428" s="77"/>
      <c r="D428" s="111"/>
      <c r="E428" s="45"/>
      <c r="F428" s="77"/>
      <c r="G428" s="45"/>
      <c r="H428" s="44"/>
    </row>
    <row r="429" spans="3:8" x14ac:dyDescent="0.35">
      <c r="C429" s="77"/>
      <c r="D429" s="111"/>
      <c r="E429" s="45"/>
      <c r="F429" s="77"/>
      <c r="G429" s="45"/>
      <c r="H429" s="44"/>
    </row>
    <row r="430" spans="3:8" x14ac:dyDescent="0.35">
      <c r="C430" s="77"/>
      <c r="D430" s="111"/>
      <c r="E430" s="45"/>
      <c r="F430" s="77"/>
      <c r="G430" s="45"/>
      <c r="H430" s="44"/>
    </row>
    <row r="431" spans="3:8" x14ac:dyDescent="0.35">
      <c r="C431" s="77"/>
      <c r="D431" s="111"/>
      <c r="E431" s="45"/>
      <c r="F431" s="77"/>
      <c r="G431" s="45"/>
      <c r="H431" s="44"/>
    </row>
    <row r="432" spans="3:8" x14ac:dyDescent="0.35">
      <c r="C432" s="77"/>
      <c r="D432" s="111"/>
      <c r="E432" s="45"/>
      <c r="F432" s="77"/>
      <c r="G432" s="45"/>
      <c r="H432" s="44"/>
    </row>
    <row r="433" spans="2:8" x14ac:dyDescent="0.35">
      <c r="B433" s="45"/>
      <c r="C433" s="77"/>
      <c r="D433" s="111"/>
      <c r="E433" s="45"/>
      <c r="F433" s="77"/>
      <c r="G433" s="45"/>
      <c r="H433" s="44"/>
    </row>
    <row r="434" spans="2:8" x14ac:dyDescent="0.35">
      <c r="B434" s="45"/>
      <c r="C434" s="77"/>
      <c r="D434" s="111"/>
      <c r="E434" s="45"/>
      <c r="F434" s="77"/>
      <c r="G434" s="45"/>
      <c r="H434" s="44"/>
    </row>
    <row r="435" spans="2:8" x14ac:dyDescent="0.35">
      <c r="B435" s="45"/>
      <c r="C435" s="77"/>
      <c r="D435" s="111"/>
      <c r="E435" s="45"/>
      <c r="F435" s="77"/>
      <c r="G435" s="45"/>
      <c r="H435" s="44"/>
    </row>
    <row r="436" spans="2:8" x14ac:dyDescent="0.35">
      <c r="B436" s="45"/>
      <c r="C436" s="77"/>
      <c r="D436" s="111"/>
      <c r="E436" s="45"/>
      <c r="F436" s="77"/>
      <c r="G436" s="45"/>
      <c r="H436" s="44"/>
    </row>
    <row r="437" spans="2:8" x14ac:dyDescent="0.35">
      <c r="B437" s="45"/>
      <c r="C437" s="77"/>
      <c r="D437" s="111"/>
      <c r="E437" s="45"/>
      <c r="F437" s="77"/>
      <c r="G437" s="45"/>
      <c r="H437" s="44"/>
    </row>
    <row r="438" spans="2:8" x14ac:dyDescent="0.35">
      <c r="B438" s="45"/>
      <c r="C438" s="77"/>
      <c r="D438" s="111"/>
      <c r="E438" s="45"/>
      <c r="F438" s="77"/>
      <c r="G438" s="45"/>
      <c r="H438" s="44"/>
    </row>
    <row r="439" spans="2:8" x14ac:dyDescent="0.35">
      <c r="B439" s="45"/>
      <c r="C439" s="77"/>
      <c r="D439" s="111"/>
      <c r="E439" s="45"/>
      <c r="F439" s="77"/>
      <c r="G439" s="45"/>
      <c r="H439" s="44"/>
    </row>
    <row r="440" spans="2:8" x14ac:dyDescent="0.35">
      <c r="B440" s="45"/>
      <c r="C440" s="77"/>
      <c r="D440" s="111"/>
      <c r="E440" s="45"/>
      <c r="F440" s="77"/>
      <c r="G440" s="45"/>
      <c r="H440" s="44"/>
    </row>
    <row r="441" spans="2:8" x14ac:dyDescent="0.35">
      <c r="B441" s="45"/>
      <c r="C441" s="77"/>
      <c r="D441" s="111"/>
      <c r="E441" s="45"/>
      <c r="F441" s="77"/>
      <c r="G441" s="45"/>
      <c r="H441" s="44"/>
    </row>
    <row r="442" spans="2:8" x14ac:dyDescent="0.35">
      <c r="B442" s="45"/>
      <c r="C442" s="77"/>
      <c r="D442" s="111"/>
      <c r="E442" s="45"/>
      <c r="F442" s="77"/>
      <c r="G442" s="45"/>
      <c r="H442" s="44"/>
    </row>
    <row r="443" spans="2:8" x14ac:dyDescent="0.35">
      <c r="B443" s="45"/>
      <c r="C443" s="77"/>
      <c r="D443" s="111"/>
      <c r="E443" s="45"/>
      <c r="F443" s="77"/>
      <c r="G443" s="45"/>
      <c r="H443" s="44"/>
    </row>
    <row r="444" spans="2:8" x14ac:dyDescent="0.35">
      <c r="B444" s="45"/>
      <c r="C444" s="77"/>
      <c r="D444" s="111"/>
      <c r="E444" s="45"/>
      <c r="F444" s="77"/>
      <c r="G444" s="45"/>
      <c r="H444" s="44"/>
    </row>
    <row r="445" spans="2:8" x14ac:dyDescent="0.35">
      <c r="B445" s="45"/>
      <c r="C445" s="77"/>
      <c r="D445" s="111"/>
      <c r="E445" s="45"/>
      <c r="F445" s="77"/>
      <c r="G445" s="45"/>
      <c r="H445" s="44"/>
    </row>
    <row r="446" spans="2:8" x14ac:dyDescent="0.35">
      <c r="B446" s="45"/>
      <c r="C446" s="77"/>
      <c r="D446" s="111"/>
      <c r="E446" s="45"/>
      <c r="F446" s="77"/>
      <c r="G446" s="45"/>
      <c r="H446" s="44"/>
    </row>
    <row r="447" spans="2:8" x14ac:dyDescent="0.35">
      <c r="B447" s="45"/>
      <c r="C447" s="77"/>
      <c r="D447" s="111"/>
      <c r="E447" s="45"/>
      <c r="F447" s="77"/>
      <c r="G447" s="45"/>
      <c r="H447" s="44"/>
    </row>
    <row r="448" spans="2:8" x14ac:dyDescent="0.35">
      <c r="B448" s="45"/>
      <c r="C448" s="77"/>
      <c r="D448" s="111"/>
      <c r="E448" s="45"/>
      <c r="F448" s="77"/>
      <c r="G448" s="45"/>
      <c r="H448" s="45"/>
    </row>
    <row r="449" spans="2:8" x14ac:dyDescent="0.35">
      <c r="B449" s="45"/>
      <c r="C449" s="77"/>
      <c r="D449" s="111"/>
      <c r="E449" s="45"/>
      <c r="F449" s="77"/>
      <c r="G449" s="45"/>
      <c r="H449" s="45"/>
    </row>
    <row r="450" spans="2:8" x14ac:dyDescent="0.35">
      <c r="B450" s="45"/>
      <c r="C450" s="77"/>
      <c r="D450" s="111"/>
      <c r="E450" s="45"/>
      <c r="F450" s="77"/>
      <c r="G450" s="45"/>
      <c r="H450" s="45"/>
    </row>
    <row r="451" spans="2:8" x14ac:dyDescent="0.35">
      <c r="B451" s="45"/>
      <c r="C451" s="77"/>
      <c r="D451" s="111"/>
      <c r="E451" s="45"/>
      <c r="F451" s="77"/>
      <c r="G451" s="45"/>
      <c r="H451" s="45"/>
    </row>
    <row r="452" spans="2:8" x14ac:dyDescent="0.35">
      <c r="B452" s="45"/>
      <c r="C452" s="77"/>
      <c r="D452" s="111"/>
      <c r="E452" s="45"/>
      <c r="F452" s="77"/>
      <c r="G452" s="45"/>
      <c r="H452" s="45"/>
    </row>
    <row r="453" spans="2:8" x14ac:dyDescent="0.35">
      <c r="B453" s="45"/>
      <c r="C453" s="77"/>
      <c r="D453" s="111"/>
      <c r="E453" s="45"/>
      <c r="F453" s="77"/>
      <c r="G453" s="45"/>
      <c r="H453" s="45"/>
    </row>
    <row r="454" spans="2:8" x14ac:dyDescent="0.35">
      <c r="B454" s="45"/>
      <c r="C454" s="77"/>
      <c r="D454" s="111"/>
      <c r="E454" s="45"/>
      <c r="F454" s="77"/>
      <c r="G454" s="45"/>
      <c r="H454" s="45"/>
    </row>
    <row r="455" spans="2:8" x14ac:dyDescent="0.35">
      <c r="B455" s="45"/>
      <c r="C455" s="77"/>
      <c r="D455" s="111"/>
      <c r="E455" s="45"/>
      <c r="F455" s="77"/>
      <c r="G455" s="45"/>
      <c r="H455" s="45"/>
    </row>
    <row r="456" spans="2:8" x14ac:dyDescent="0.35">
      <c r="B456" s="45"/>
      <c r="C456" s="77"/>
      <c r="D456" s="111"/>
      <c r="E456" s="45"/>
      <c r="F456" s="77"/>
      <c r="G456" s="45"/>
      <c r="H456" s="45"/>
    </row>
    <row r="457" spans="2:8" x14ac:dyDescent="0.35">
      <c r="B457" s="45"/>
      <c r="C457" s="77"/>
      <c r="D457" s="111"/>
      <c r="E457" s="45"/>
      <c r="F457" s="77"/>
      <c r="G457" s="45"/>
      <c r="H457" s="45"/>
    </row>
    <row r="458" spans="2:8" x14ac:dyDescent="0.35">
      <c r="B458" s="45"/>
      <c r="C458" s="77"/>
      <c r="D458" s="111"/>
      <c r="E458" s="45"/>
      <c r="F458" s="77"/>
      <c r="G458" s="45"/>
      <c r="H458" s="45"/>
    </row>
    <row r="459" spans="2:8" x14ac:dyDescent="0.35">
      <c r="B459" s="45"/>
      <c r="C459" s="77"/>
      <c r="D459" s="111"/>
      <c r="E459" s="45"/>
      <c r="F459" s="77"/>
      <c r="G459" s="45"/>
      <c r="H459" s="45"/>
    </row>
    <row r="460" spans="2:8" x14ac:dyDescent="0.35">
      <c r="B460" s="45"/>
      <c r="C460" s="77"/>
      <c r="D460" s="111"/>
      <c r="E460" s="45"/>
      <c r="F460" s="77"/>
      <c r="G460" s="45"/>
      <c r="H460" s="45"/>
    </row>
    <row r="461" spans="2:8" x14ac:dyDescent="0.35">
      <c r="B461" s="45"/>
      <c r="C461" s="77"/>
      <c r="D461" s="111"/>
      <c r="E461" s="45"/>
      <c r="F461" s="77"/>
      <c r="G461" s="45"/>
      <c r="H461" s="45"/>
    </row>
    <row r="462" spans="2:8" x14ac:dyDescent="0.35">
      <c r="B462" s="45"/>
      <c r="C462" s="77"/>
      <c r="D462" s="111"/>
      <c r="E462" s="45"/>
      <c r="F462" s="77"/>
      <c r="G462" s="45"/>
      <c r="H462" s="45"/>
    </row>
    <row r="463" spans="2:8" x14ac:dyDescent="0.35">
      <c r="B463" s="45"/>
      <c r="C463" s="77"/>
      <c r="D463" s="111"/>
      <c r="E463" s="45"/>
      <c r="F463" s="77"/>
      <c r="G463" s="45"/>
      <c r="H463" s="45"/>
    </row>
    <row r="464" spans="2:8" x14ac:dyDescent="0.35">
      <c r="B464" s="45"/>
      <c r="C464" s="77"/>
      <c r="D464" s="111"/>
      <c r="E464" s="45"/>
      <c r="F464" s="77"/>
      <c r="G464" s="45"/>
      <c r="H464" s="45"/>
    </row>
    <row r="465" spans="2:8" x14ac:dyDescent="0.35">
      <c r="B465" s="45"/>
      <c r="C465" s="77"/>
      <c r="D465" s="111"/>
      <c r="E465" s="45"/>
      <c r="F465" s="77"/>
      <c r="G465" s="45"/>
      <c r="H465" s="45"/>
    </row>
    <row r="466" spans="2:8" x14ac:dyDescent="0.35">
      <c r="B466" s="45"/>
      <c r="C466" s="77"/>
      <c r="D466" s="111"/>
      <c r="E466" s="45"/>
      <c r="F466" s="77"/>
      <c r="G466" s="45"/>
      <c r="H466" s="45"/>
    </row>
    <row r="467" spans="2:8" x14ac:dyDescent="0.35">
      <c r="B467" s="45"/>
      <c r="C467" s="77"/>
      <c r="D467" s="111"/>
      <c r="E467" s="45"/>
      <c r="F467" s="77"/>
      <c r="G467" s="45"/>
      <c r="H467" s="45"/>
    </row>
    <row r="468" spans="2:8" x14ac:dyDescent="0.35">
      <c r="B468" s="45"/>
      <c r="C468" s="77"/>
      <c r="D468" s="111"/>
      <c r="E468" s="45"/>
      <c r="F468" s="77"/>
      <c r="G468" s="45"/>
      <c r="H468" s="45"/>
    </row>
    <row r="469" spans="2:8" x14ac:dyDescent="0.35">
      <c r="B469" s="45"/>
      <c r="C469" s="77"/>
      <c r="D469" s="111"/>
      <c r="E469" s="45"/>
      <c r="F469" s="77"/>
      <c r="G469" s="45"/>
      <c r="H469" s="45"/>
    </row>
    <row r="470" spans="2:8" x14ac:dyDescent="0.35">
      <c r="B470" s="45"/>
      <c r="C470" s="77"/>
      <c r="D470" s="111"/>
      <c r="E470" s="45"/>
      <c r="F470" s="77"/>
      <c r="G470" s="45"/>
      <c r="H470" s="45"/>
    </row>
    <row r="471" spans="2:8" x14ac:dyDescent="0.35">
      <c r="B471" s="45"/>
      <c r="C471" s="77"/>
      <c r="D471" s="111"/>
      <c r="E471" s="45"/>
      <c r="F471" s="77"/>
      <c r="G471" s="45"/>
      <c r="H471" s="45"/>
    </row>
    <row r="472" spans="2:8" x14ac:dyDescent="0.35">
      <c r="B472" s="45"/>
      <c r="C472" s="77"/>
      <c r="D472" s="111"/>
      <c r="E472" s="45"/>
      <c r="F472" s="77"/>
      <c r="G472" s="45"/>
      <c r="H472" s="45"/>
    </row>
    <row r="473" spans="2:8" x14ac:dyDescent="0.35">
      <c r="B473" s="45"/>
      <c r="C473" s="77"/>
      <c r="D473" s="111"/>
      <c r="E473" s="45"/>
      <c r="F473" s="77"/>
      <c r="G473" s="45"/>
      <c r="H473" s="45"/>
    </row>
    <row r="474" spans="2:8" x14ac:dyDescent="0.35">
      <c r="B474" s="45"/>
      <c r="C474" s="77"/>
      <c r="D474" s="111"/>
      <c r="E474" s="45"/>
      <c r="F474" s="77"/>
      <c r="G474" s="45"/>
      <c r="H474" s="45"/>
    </row>
    <row r="475" spans="2:8" x14ac:dyDescent="0.35">
      <c r="C475" s="77"/>
      <c r="D475" s="111"/>
      <c r="E475" s="45"/>
      <c r="F475" s="77"/>
      <c r="G475" s="45"/>
      <c r="H475" s="45"/>
    </row>
    <row r="476" spans="2:8" x14ac:dyDescent="0.35">
      <c r="C476" s="77"/>
      <c r="D476" s="111"/>
      <c r="E476" s="45"/>
      <c r="F476" s="77"/>
      <c r="G476" s="45"/>
      <c r="H476" s="45"/>
    </row>
    <row r="477" spans="2:8" x14ac:dyDescent="0.35">
      <c r="H477" s="45"/>
    </row>
    <row r="478" spans="2:8" x14ac:dyDescent="0.35">
      <c r="H478" s="45"/>
    </row>
    <row r="479" spans="2:8" x14ac:dyDescent="0.35">
      <c r="H479" s="45"/>
    </row>
    <row r="480" spans="2:8" x14ac:dyDescent="0.35">
      <c r="H480" s="45"/>
    </row>
    <row r="481" spans="8:8" x14ac:dyDescent="0.35">
      <c r="H481" s="45"/>
    </row>
    <row r="482" spans="8:8" x14ac:dyDescent="0.35">
      <c r="H482" s="45"/>
    </row>
    <row r="483" spans="8:8" x14ac:dyDescent="0.35">
      <c r="H483" s="45"/>
    </row>
    <row r="484" spans="8:8" x14ac:dyDescent="0.35">
      <c r="H484" s="45"/>
    </row>
    <row r="485" spans="8:8" x14ac:dyDescent="0.35">
      <c r="H485" s="45"/>
    </row>
    <row r="486" spans="8:8" x14ac:dyDescent="0.35">
      <c r="H486" s="45"/>
    </row>
    <row r="487" spans="8:8" x14ac:dyDescent="0.35">
      <c r="H487" s="45"/>
    </row>
    <row r="488" spans="8:8" x14ac:dyDescent="0.35">
      <c r="H488" s="45"/>
    </row>
    <row r="489" spans="8:8" x14ac:dyDescent="0.35">
      <c r="H489" s="45"/>
    </row>
    <row r="490" spans="8:8" x14ac:dyDescent="0.35">
      <c r="H490" s="45"/>
    </row>
    <row r="491" spans="8:8" x14ac:dyDescent="0.35">
      <c r="H491" s="45"/>
    </row>
    <row r="492" spans="8:8" x14ac:dyDescent="0.35">
      <c r="H492" s="45"/>
    </row>
    <row r="493" spans="8:8" x14ac:dyDescent="0.35">
      <c r="H493" s="45"/>
    </row>
    <row r="494" spans="8:8" x14ac:dyDescent="0.35">
      <c r="H494" s="45"/>
    </row>
    <row r="495" spans="8:8" x14ac:dyDescent="0.35">
      <c r="H495" s="45"/>
    </row>
    <row r="496" spans="8:8" x14ac:dyDescent="0.35">
      <c r="H496" s="45"/>
    </row>
    <row r="497" spans="8:8" x14ac:dyDescent="0.35">
      <c r="H497" s="45"/>
    </row>
    <row r="498" spans="8:8" x14ac:dyDescent="0.35">
      <c r="H498" s="45"/>
    </row>
    <row r="499" spans="8:8" x14ac:dyDescent="0.35">
      <c r="H499" s="45"/>
    </row>
    <row r="500" spans="8:8" x14ac:dyDescent="0.35">
      <c r="H500" s="45"/>
    </row>
    <row r="501" spans="8:8" x14ac:dyDescent="0.35">
      <c r="H501" s="45"/>
    </row>
    <row r="502" spans="8:8" x14ac:dyDescent="0.35">
      <c r="H502" s="45"/>
    </row>
    <row r="503" spans="8:8" x14ac:dyDescent="0.35">
      <c r="H503" s="45"/>
    </row>
    <row r="504" spans="8:8" x14ac:dyDescent="0.35">
      <c r="H504" s="45"/>
    </row>
  </sheetData>
  <mergeCells count="1">
    <mergeCell ref="B27:H27"/>
  </mergeCells>
  <phoneticPr fontId="28" type="noConversion"/>
  <hyperlinks>
    <hyperlink ref="B17" r:id="rId1" xr:uid="{C63843BD-9780-4A67-9B90-C4346FB20920}"/>
  </hyperlinks>
  <pageMargins left="0.7" right="0.7" top="0.75" bottom="0.75" header="0.3" footer="0.3"/>
  <pageSetup paperSize="9" orientation="portrait" horizontalDpi="300" verticalDpi="300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DA27F5BB0A1F44CB2271C3F58AABC4A" ma:contentTypeVersion="16" ma:contentTypeDescription="Creare un nuovo documento." ma:contentTypeScope="" ma:versionID="6c38615e733aadaab643e8f4522f5d8e">
  <xsd:schema xmlns:xsd="http://www.w3.org/2001/XMLSchema" xmlns:xs="http://www.w3.org/2001/XMLSchema" xmlns:p="http://schemas.microsoft.com/office/2006/metadata/properties" xmlns:ns2="31a33ae0-9583-4d24-8d2a-dd0d1d8b938e" xmlns:ns3="1f0977cb-d2f3-45c6-84d8-726f35a87576" targetNamespace="http://schemas.microsoft.com/office/2006/metadata/properties" ma:root="true" ma:fieldsID="4078b8ab279635d84e8c1adaf3d54276" ns2:_="" ns3:_="">
    <xsd:import namespace="31a33ae0-9583-4d24-8d2a-dd0d1d8b938e"/>
    <xsd:import namespace="1f0977cb-d2f3-45c6-84d8-726f35a875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_Flow_SignoffStatus" minOccurs="0"/>
                <xsd:element ref="ns3:SharedWithUsers" minOccurs="0"/>
                <xsd:element ref="ns3:SharedWithDetails" minOccurs="0"/>
                <xsd:element ref="ns2:LUGAMM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a33ae0-9583-4d24-8d2a-dd0d1d8b93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Tag immagine" ma:readOnly="false" ma:fieldId="{5cf76f15-5ced-4ddc-b409-7134ff3c332f}" ma:taxonomyMulti="true" ma:sspId="1f64f0cd-655c-4956-9c88-c535e251ca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18" nillable="true" ma:displayName="Stato consenso" ma:internalName="Stato_x0020_consenso">
      <xsd:simpleType>
        <xsd:restriction base="dms:Text"/>
      </xsd:simpleType>
    </xsd:element>
    <xsd:element name="LUGAMM" ma:index="21" nillable="true" ma:displayName="LUG AMM" ma:default="1" ma:description="Consuntivazione Amministrativa" ma:format="Dropdown" ma:internalName="LUGAMM">
      <xsd:simpleType>
        <xsd:restriction base="dms:Boolean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0977cb-d2f3-45c6-84d8-726f35a8757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26d4f039-ccd4-4976-bf94-02e358bc944f}" ma:internalName="TaxCatchAll" ma:showField="CatchAllData" ma:web="1f0977cb-d2f3-45c6-84d8-726f35a875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1a33ae0-9583-4d24-8d2a-dd0d1d8b938e">
      <Terms xmlns="http://schemas.microsoft.com/office/infopath/2007/PartnerControls"/>
    </lcf76f155ced4ddcb4097134ff3c332f>
    <TaxCatchAll xmlns="1f0977cb-d2f3-45c6-84d8-726f35a87576" xsi:nil="true"/>
    <_Flow_SignoffStatus xmlns="31a33ae0-9583-4d24-8d2a-dd0d1d8b938e" xsi:nil="true"/>
    <LUGAMM xmlns="31a33ae0-9583-4d24-8d2a-dd0d1d8b938e">true</LUGAMM>
  </documentManagement>
</p:properties>
</file>

<file path=customXml/itemProps1.xml><?xml version="1.0" encoding="utf-8"?>
<ds:datastoreItem xmlns:ds="http://schemas.openxmlformats.org/officeDocument/2006/customXml" ds:itemID="{5E35DA4B-C97A-4E5A-819C-E333005729F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5E156EB-A677-4784-8A77-9C20301CB2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a33ae0-9583-4d24-8d2a-dd0d1d8b938e"/>
    <ds:schemaRef ds:uri="1f0977cb-d2f3-45c6-84d8-726f35a875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F747A2-FC3D-47C9-9015-4E8B364ECFA3}">
  <ds:schemaRefs>
    <ds:schemaRef ds:uri="http://schemas.microsoft.com/office/2006/metadata/properties"/>
    <ds:schemaRef ds:uri="http://schemas.microsoft.com/office/infopath/2007/PartnerControls"/>
    <ds:schemaRef ds:uri="31a33ae0-9583-4d24-8d2a-dd0d1d8b938e"/>
    <ds:schemaRef ds:uri="1f0977cb-d2f3-45c6-84d8-726f35a8757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Edoardo Mariani</dc:creator>
  <cp:keywords/>
  <dc:description/>
  <cp:lastModifiedBy>Thomas Rognoni</cp:lastModifiedBy>
  <cp:revision/>
  <dcterms:created xsi:type="dcterms:W3CDTF">2021-01-14T08:01:05Z</dcterms:created>
  <dcterms:modified xsi:type="dcterms:W3CDTF">2026-02-24T08:12:34Z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0x0101007DA27F5BB0A1F44CB2271C3F58AABC4A</vt:lpwstr>
  </property>
  <property fmtid="{D5CDD505-2E9C-101B-9397-08002B2CF9AE}" pid="3" name="Order">
    <vt:r8>590600</vt:r8>
  </property>
  <property fmtid="{D5CDD505-2E9C-101B-9397-08002B2CF9AE}" pid="4" name="MediaServiceImageTags">
    <vt:lpwstr/>
  </property>
</Properties>
</file>